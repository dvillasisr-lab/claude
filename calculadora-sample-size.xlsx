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a" sheetId="1" state="visible" r:id="rId3"/>
    <sheet name="Instruccio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<sst xmlns="http://schemas.openxmlformats.org/spreadsheetml/2006/main" count="97" uniqueCount="87">
  <si>
    <t xml:space="preserve">Calculadora de poder: experimento de crédito por score (ventana de 1 mes)</t>
  </si>
  <si>
    <t xml:space="preserve">Celdas azules con fondo amarillo = las cambias tú. Lo demás son fórmulas. Lo único que de verdad decides es la fila 'Usuarios en TRATAMIENTO'; el control es el resto del pool.</t>
  </si>
  <si>
    <t xml:space="preserve">PARÁMETROS</t>
  </si>
  <si>
    <t xml:space="preserve">Valor</t>
  </si>
  <si>
    <t xml:space="preserve">Qué es</t>
  </si>
  <si>
    <t xml:space="preserve">Alpha (riesgo de falso positivo)</t>
  </si>
  <si>
    <t xml:space="preserve">Estándar 0.05.</t>
  </si>
  <si>
    <t xml:space="preserve">Poder objetivo</t>
  </si>
  <si>
    <t xml:space="preserve">Estándar 0.80.</t>
  </si>
  <si>
    <t xml:space="preserve">Tiers que pruebas a la vez</t>
  </si>
  <si>
    <t xml:space="preserve">1 si pruebas un solo tier (ej. Excelente). 2 o 3 si corres varios a la vez.</t>
  </si>
  <si>
    <t xml:space="preserve">Pérdidas / inactivos</t>
  </si>
  <si>
    <t xml:space="preserve">% de usuarios que no cuentan al final (no activan, salen). 5% es razonable.</t>
  </si>
  <si>
    <t xml:space="preserve">Alpha ajustado</t>
  </si>
  <si>
    <t xml:space="preserve">Alpha / tiers (Bonferroni).</t>
  </si>
  <si>
    <t xml:space="preserve">z alpha</t>
  </si>
  <si>
    <t xml:space="preserve">z poder</t>
  </si>
  <si>
    <t xml:space="preserve">MÉTRICA</t>
  </si>
  <si>
    <t xml:space="preserve">Nombre de la métrica (solo etiqueta)</t>
  </si>
  <si>
    <t xml:space="preserve">Referidor trae referido con primer loan</t>
  </si>
  <si>
    <t xml:space="preserve">Lo que cuentas por referidor cada mes (sí/no). Hoy: trajo un referido con primer loan.</t>
  </si>
  <si>
    <t xml:space="preserve">DATOS POR TIER</t>
  </si>
  <si>
    <t xml:space="preserve">Excelente</t>
  </si>
  <si>
    <t xml:space="preserve">Bueno</t>
  </si>
  <si>
    <t xml:space="preserve">Bajo</t>
  </si>
  <si>
    <t xml:space="preserve">Qué poner</t>
  </si>
  <si>
    <t xml:space="preserve">Crédito hoy (MXN)</t>
  </si>
  <si>
    <t xml:space="preserve">Lo que se paga hoy por cada primer loan de un referido.</t>
  </si>
  <si>
    <t xml:space="preserve">Crédito nuevo (MXN)</t>
  </si>
  <si>
    <t xml:space="preserve">Lo que se pagará en el grupo de tratamiento.</t>
  </si>
  <si>
    <t xml:space="preserve">Referidores potenciales (pool)</t>
  </si>
  <si>
    <t xml:space="preserve">Tu tabla por score. Si prefieres, pon solo las personas que ya han referido (y ajusta la fila de eventos).</t>
  </si>
  <si>
    <t xml:space="preserve">Eventos al mes del tier HOY (con 500 MXN)</t>
  </si>
  <si>
    <t xml:space="preserve">Primeros loans que trajo el tier el mes pasado. Hoy: 5,000 repartidos por tamaño del tier. Si usas solo gente que ya refirió, pon aquí los loans que trajeron ellos.</t>
  </si>
  <si>
    <t xml:space="preserve">Usuarios en TRATAMIENTO (tú eliges)</t>
  </si>
  <si>
    <t xml:space="preserve">Cuántos reciben el crédito nuevo. El resto del pool queda en control con 500. Si no alcanza, mira la fila 'Mínimo para llegar al poder'.</t>
  </si>
  <si>
    <t xml:space="preserve">Cuánto crees que suban los eventos con el crédito nuevo</t>
  </si>
  <si>
    <t xml:space="preserve">Tu apuesta. 30% = si hoy traen 100 loans, crees que con el crédito nuevo traerán 130. Negativo si esperas que bajen (Bajo).</t>
  </si>
  <si>
    <t xml:space="preserve">RESULTADOS (1 mes)</t>
  </si>
  <si>
    <t xml:space="preserve">Cómo leerlo</t>
  </si>
  <si>
    <t xml:space="preserve">Tasa base mensual (eventos / pool)</t>
  </si>
  <si>
    <t xml:space="preserve">De cada 100 usuarios, cuántos cumplen la métrica en un mes.</t>
  </si>
  <si>
    <t xml:space="preserve">Usuarios en control (pool - tratamiento)</t>
  </si>
  <si>
    <t xml:space="preserve">Siguen con 500. Si sale negativo, pusiste más tratamiento que pool.</t>
  </si>
  <si>
    <t xml:space="preserve">Eventos al mes esperados en tratamiento (sin cambio)</t>
  </si>
  <si>
    <t xml:space="preserve">Lo que ese grupo ya trae hoy. Si es menor a ~80, es muy difícil medir algo en 1 mes.</t>
  </si>
  <si>
    <t xml:space="preserve">Eventos al mes esperados en control</t>
  </si>
  <si>
    <t xml:space="preserve">Cambio esperado (relativo)</t>
  </si>
  <si>
    <t xml:space="preserve">Tasa esperada en tratamiento</t>
  </si>
  <si>
    <t xml:space="preserve">PODER con tus usuarios</t>
  </si>
  <si>
    <t xml:space="preserve">Probabilidad de detectar el cambio esperado si es real. Busca 80% o más.</t>
  </si>
  <si>
    <t xml:space="preserve">¿Detecta el cambio esperado?</t>
  </si>
  <si>
    <t xml:space="preserve">Cambio mínimo que sí verías</t>
  </si>
  <si>
    <t xml:space="preserve">Con tus usuarios solo ves subidas (o bajadas) de este tamaño o mayores. Si tu apuesta es menor que esto, no alcanza.</t>
  </si>
  <si>
    <t xml:space="preserve">Eventos extra al mes si el cambio es real</t>
  </si>
  <si>
    <t xml:space="preserve">Negativo = eventos que perderías.</t>
  </si>
  <si>
    <t xml:space="preserve">Costo extra al mes del experimento (MXN)</t>
  </si>
  <si>
    <t xml:space="preserve">Diferencia de crédito × eventos del grupo tratado. Negativo = ahorro. Asume que el crédito se paga por evento.</t>
  </si>
  <si>
    <t xml:space="preserve">SAMPLE SIZE: usuarios por brazo que necesitas (50/50)</t>
  </si>
  <si>
    <t xml:space="preserve">El número clásico. Tantos en tratamiento y otros tantos en control para ver tu cambio esperado con el poder elegido. Es el que te pedirían en cualquier lado.</t>
  </si>
  <si>
    <t xml:space="preserve">¿Existen en tu pool? (necesitas 2 × sample size)</t>
  </si>
  <si>
    <t xml:space="preserve">Si dice NO, ningún presupuesto lo arregla: sube el cambio esperado, alarga la ventana o cambia la métrica.</t>
  </si>
  <si>
    <t xml:space="preserve">Mínimo de usuarios en tratamiento para llegar al poder</t>
  </si>
  <si>
    <t xml:space="preserve">Sale de la tabla de abajo (en % del pool). Pon ese número o más en 'Usuarios en TRATAMIENTO'. Si dice que no llega, revisa SAMPLE SIZE: si cabe, usa la mitad del pool.</t>
  </si>
  <si>
    <t xml:space="preserve">Qué hacer</t>
  </si>
  <si>
    <t xml:space="preserve">AUXILIAR (no editar)</t>
  </si>
  <si>
    <t xml:space="preserve">n tratamiento efectivo</t>
  </si>
  <si>
    <t xml:space="preserve">n control efectivo</t>
  </si>
  <si>
    <t xml:space="preserve">Tasa combinada</t>
  </si>
  <si>
    <t xml:space="preserve">Iteración 0</t>
  </si>
  <si>
    <t xml:space="preserve">Iteración 1</t>
  </si>
  <si>
    <t xml:space="preserve">Iteración 2</t>
  </si>
  <si>
    <t xml:space="preserve">Iteración 3</t>
  </si>
  <si>
    <t xml:space="preserve">Iteración 4 = mínimo detectable (pp)</t>
  </si>
  <si>
    <t xml:space="preserve">PODER SEGÚN % DEL POOL EN TRATAMIENTO (control = resto)</t>
  </si>
  <si>
    <t xml:space="preserve">Poder si metes ese % del pool de cada tier. 50% es el máximo útil.</t>
  </si>
  <si>
    <t xml:space="preserve">auxiliar</t>
  </si>
  <si>
    <t xml:space="preserve">Supuestos: prueba de dos proporciones, dos colas, grupos de distinto tamaño, ventana de 1 mes. La tasa base asume 1 evento por usuario al mes. Los eventos por tier están repartidos en proporción al tamaño del tier porque solo se conoce el total mensual; cámbialos si tienes el dato real.</t>
  </si>
  <si>
    <t xml:space="preserve">Cómo usar (1 minuto)</t>
  </si>
  <si>
    <t xml:space="preserve">1. La fila que decides es 'Usuarios en TRATAMIENTO' (fila 21). Todo lo demás ya tiene tus datos.</t>
  </si>
  <si>
    <t xml:space="preserve">2. Mira 'PODER con tus usuarios' (fila 31). Si está en 80% o más, listo.</t>
  </si>
  <si>
    <t xml:space="preserve">3. Si no, mira 'Mínimo de usuarios en tratamiento para llegar al poder' (fila 38) y escribe ese número en la fila 21.</t>
  </si>
  <si>
    <t xml:space="preserve">3b. 'SAMPLE SIZE' (fila 36) es el número clásico de usuarios por brazo. Si la fila 37 dice NO, no existen suficientes usuarios para ese cambio esperado.</t>
  </si>
  <si>
    <t xml:space="preserve">4. 'Qué hacer' (fila 39) te lo dice en una línea.</t>
  </si>
  <si>
    <t xml:space="preserve">5. Para cambiar la métrica: escribe su nombre en la fila 14 y pon en la fila 20 cuántos usuarios de cada tier la cumplen al mes hoy.</t>
  </si>
  <si>
    <t xml:space="preserve">6. 'Tiers que pruebas a la vez' (B7): pon cuántos tiers corres al mismo tiempo. Si solo uno, pon 1 y el poder sube.</t>
  </si>
  <si>
    <t xml:space="preserve">Lectura rápida: lo que manda son los EVENTOS en el grupo de tratamiento (fila 27), no los usuarios. Con menos de ~80 eventos al mes casi nada se puede medir en un mes.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</si>
</sst>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"/>
    <numFmt numFmtId="166" formatCode="0.00"/>
    <numFmt numFmtId="167" formatCode="0"/>
    <numFmt numFmtId="168" formatCode="0.0%"/>
    <numFmt numFmtId="169" formatCode="0.0000"/>
    <numFmt numFmtId="170" formatCode="#,##0"/>
    <numFmt numFmtId="171" formatCode="0.000%"/>
    <numFmt numFmtId="172" formatCode="\$#,##0;[RED]&quot;-$&quot;#,##0"/>
    <numFmt numFmtId="173" formatCode="0.00000"/>
    <numFmt numFmtId="174" formatCode="0%&quot; del pool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99999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6EFC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2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/>
      <c r="D4" s="4"/>
      <c r="E4" s="4" t="s">
        <v>4</v>
      </c>
    </row>
    <row r="5" customFormat="false" ht="15" hidden="false" customHeight="false" outlineLevel="0" collapsed="false">
      <c r="A5" s="5" t="s">
        <v>5</v>
      </c>
      <c r="B5" s="6" t="n">
        <v>0.05</v>
      </c>
      <c r="E5" s="7" t="s">
        <v>6</v>
      </c>
    </row>
    <row r="6" customFormat="false" ht="15" hidden="false" customHeight="false" outlineLevel="0" collapsed="false">
      <c r="A6" s="5" t="s">
        <v>7</v>
      </c>
      <c r="B6" s="8" t="n">
        <v>0.8</v>
      </c>
      <c r="E6" s="7" t="s">
        <v>8</v>
      </c>
    </row>
    <row r="7" customFormat="false" ht="15" hidden="false" customHeight="false" outlineLevel="0" collapsed="false">
      <c r="A7" s="5" t="s">
        <v>9</v>
      </c>
      <c r="B7" s="9" t="n">
        <v>1</v>
      </c>
      <c r="E7" s="7" t="s">
        <v>10</v>
      </c>
    </row>
    <row r="8" customFormat="false" ht="15" hidden="false" customHeight="false" outlineLevel="0" collapsed="false">
      <c r="A8" s="5" t="s">
        <v>11</v>
      </c>
      <c r="B8" s="10" t="n">
        <v>0.05</v>
      </c>
      <c r="E8" s="7" t="s">
        <v>12</v>
      </c>
    </row>
    <row r="9" customFormat="false" ht="15" hidden="false" customHeight="false" outlineLevel="0" collapsed="false">
      <c r="A9" s="5" t="s">
        <v>13</v>
      </c>
      <c r="B9" s="11" t="n">
        <f aca="false">B5/B7</f>
        <v>0.05</v>
      </c>
      <c r="E9" s="7" t="s">
        <v>14</v>
      </c>
    </row>
    <row r="10" customFormat="false" ht="15" hidden="false" customHeight="false" outlineLevel="0" collapsed="false">
      <c r="A10" s="5" t="s">
        <v>15</v>
      </c>
      <c r="B10" s="12" t="n">
        <f aca="false">NORMSINV(1-B9/2)</f>
        <v>1.95996398454005</v>
      </c>
    </row>
    <row r="11" customFormat="false" ht="15" hidden="false" customHeight="false" outlineLevel="0" collapsed="false">
      <c r="A11" s="5" t="s">
        <v>16</v>
      </c>
      <c r="B11" s="12" t="n">
        <f aca="false">NORMSINV(B6)</f>
        <v>0.841621233572914</v>
      </c>
    </row>
    <row r="13" customFormat="false" ht="15" hidden="false" customHeight="false" outlineLevel="0" collapsed="false">
      <c r="A13" s="3" t="s">
        <v>17</v>
      </c>
      <c r="B13" s="4"/>
      <c r="C13" s="4"/>
      <c r="D13" s="4"/>
      <c r="E13" s="4" t="s">
        <v>4</v>
      </c>
    </row>
    <row r="14" customFormat="false" ht="27.75" hidden="false" customHeight="true" outlineLevel="0" collapsed="false">
      <c r="A14" s="5" t="s">
        <v>18</v>
      </c>
      <c r="B14" s="13" t="s">
        <v>19</v>
      </c>
      <c r="C14" s="13"/>
      <c r="D14" s="13"/>
      <c r="E14" s="7" t="s">
        <v>20</v>
      </c>
    </row>
    <row r="16" customFormat="false" ht="15" hidden="false" customHeight="false" outlineLevel="0" collapsed="false">
      <c r="A16" s="3" t="s">
        <v>21</v>
      </c>
      <c r="B16" s="4" t="s">
        <v>22</v>
      </c>
      <c r="C16" s="4" t="s">
        <v>23</v>
      </c>
      <c r="D16" s="4" t="s">
        <v>24</v>
      </c>
      <c r="E16" s="4" t="s">
        <v>25</v>
      </c>
    </row>
    <row r="17" customFormat="false" ht="15" hidden="false" customHeight="false" outlineLevel="0" collapsed="false">
      <c r="A17" s="5" t="s">
        <v>26</v>
      </c>
      <c r="B17" s="14" t="n">
        <v>500</v>
      </c>
      <c r="C17" s="14" t="n">
        <v>500</v>
      </c>
      <c r="D17" s="14" t="n">
        <v>500</v>
      </c>
      <c r="E17" s="7" t="s">
        <v>27</v>
      </c>
    </row>
    <row r="18" customFormat="false" ht="15" hidden="false" customHeight="false" outlineLevel="0" collapsed="false">
      <c r="A18" s="5" t="s">
        <v>28</v>
      </c>
      <c r="B18" s="14" t="n">
        <v>1000</v>
      </c>
      <c r="C18" s="14" t="n">
        <v>750</v>
      </c>
      <c r="D18" s="14" t="n">
        <v>250</v>
      </c>
      <c r="E18" s="7" t="s">
        <v>29</v>
      </c>
    </row>
    <row r="19" customFormat="false" ht="22.35" hidden="false" customHeight="false" outlineLevel="0" collapsed="false">
      <c r="A19" s="5" t="s">
        <v>30</v>
      </c>
      <c r="B19" s="14" t="n">
        <v>562159</v>
      </c>
      <c r="C19" s="14" t="n">
        <v>668384</v>
      </c>
      <c r="D19" s="14" t="n">
        <v>4654405</v>
      </c>
      <c r="E19" s="7" t="s">
        <v>31</v>
      </c>
    </row>
    <row r="20" customFormat="false" ht="39.75" hidden="false" customHeight="true" outlineLevel="0" collapsed="false">
      <c r="A20" s="5" t="s">
        <v>32</v>
      </c>
      <c r="B20" s="14" t="n">
        <v>461</v>
      </c>
      <c r="C20" s="14" t="n">
        <v>549</v>
      </c>
      <c r="D20" s="14" t="n">
        <v>3820</v>
      </c>
      <c r="E20" s="7" t="s">
        <v>33</v>
      </c>
    </row>
    <row r="21" customFormat="false" ht="39.75" hidden="false" customHeight="true" outlineLevel="0" collapsed="false">
      <c r="A21" s="5" t="s">
        <v>34</v>
      </c>
      <c r="B21" s="14" t="n">
        <v>281000</v>
      </c>
      <c r="C21" s="14" t="n">
        <v>334192</v>
      </c>
      <c r="D21" s="14" t="n">
        <v>2327000</v>
      </c>
      <c r="E21" s="7" t="s">
        <v>35</v>
      </c>
    </row>
    <row r="22" customFormat="false" ht="39.75" hidden="false" customHeight="true" outlineLevel="0" collapsed="false">
      <c r="A22" s="5" t="s">
        <v>36</v>
      </c>
      <c r="B22" s="10" t="n">
        <v>0.3</v>
      </c>
      <c r="C22" s="10" t="n">
        <v>0.15</v>
      </c>
      <c r="D22" s="10" t="n">
        <v>-0.15</v>
      </c>
      <c r="E22" s="7" t="s">
        <v>37</v>
      </c>
    </row>
    <row r="24" customFormat="false" ht="15" hidden="false" customHeight="false" outlineLevel="0" collapsed="false">
      <c r="A24" s="3" t="s">
        <v>38</v>
      </c>
      <c r="B24" s="4" t="s">
        <v>22</v>
      </c>
      <c r="C24" s="4" t="s">
        <v>23</v>
      </c>
      <c r="D24" s="4" t="s">
        <v>24</v>
      </c>
      <c r="E24" s="4" t="s">
        <v>39</v>
      </c>
    </row>
    <row r="25" customFormat="false" ht="15" hidden="false" customHeight="false" outlineLevel="0" collapsed="false">
      <c r="A25" s="5" t="s">
        <v>40</v>
      </c>
      <c r="B25" s="15" t="n">
        <f aca="false">B20/B19</f>
        <v>0.000820052689719457</v>
      </c>
      <c r="C25" s="15" t="n">
        <f aca="false">C20/C19</f>
        <v>0.000821384114520994</v>
      </c>
      <c r="D25" s="15" t="n">
        <f aca="false">D20/D19</f>
        <v>0.000820727891105308</v>
      </c>
      <c r="E25" s="7" t="s">
        <v>41</v>
      </c>
    </row>
    <row r="26" customFormat="false" ht="15" hidden="false" customHeight="false" outlineLevel="0" collapsed="false">
      <c r="A26" s="5" t="s">
        <v>42</v>
      </c>
      <c r="B26" s="16" t="n">
        <f aca="false">B19-B21</f>
        <v>281159</v>
      </c>
      <c r="C26" s="16" t="n">
        <f aca="false">C19-C21</f>
        <v>334192</v>
      </c>
      <c r="D26" s="16" t="n">
        <f aca="false">D19-D21</f>
        <v>2327405</v>
      </c>
      <c r="E26" s="7" t="s">
        <v>43</v>
      </c>
    </row>
    <row r="27" customFormat="false" ht="15" hidden="false" customHeight="false" outlineLevel="0" collapsed="false">
      <c r="A27" s="5" t="s">
        <v>44</v>
      </c>
      <c r="B27" s="16" t="n">
        <f aca="false">B21*B25</f>
        <v>230.434805811167</v>
      </c>
      <c r="C27" s="16" t="n">
        <f aca="false">C21*C25</f>
        <v>274.5</v>
      </c>
      <c r="D27" s="16" t="n">
        <f aca="false">D21*D25</f>
        <v>1909.83380260205</v>
      </c>
      <c r="E27" s="7" t="s">
        <v>45</v>
      </c>
    </row>
    <row r="28" customFormat="false" ht="15" hidden="false" customHeight="false" outlineLevel="0" collapsed="false">
      <c r="A28" s="5" t="s">
        <v>46</v>
      </c>
      <c r="B28" s="16" t="n">
        <f aca="false">B26*B25</f>
        <v>230.565194188833</v>
      </c>
      <c r="C28" s="16" t="n">
        <f aca="false">C26*C25</f>
        <v>274.5</v>
      </c>
      <c r="D28" s="16" t="n">
        <f aca="false">D26*D25</f>
        <v>1910.16619739795</v>
      </c>
    </row>
    <row r="29" customFormat="false" ht="15" hidden="false" customHeight="false" outlineLevel="0" collapsed="false">
      <c r="A29" s="5" t="s">
        <v>47</v>
      </c>
      <c r="B29" s="17" t="n">
        <f aca="false">B22</f>
        <v>0.3</v>
      </c>
      <c r="C29" s="17" t="n">
        <f aca="false">C22</f>
        <v>0.15</v>
      </c>
      <c r="D29" s="17" t="n">
        <f aca="false">D22</f>
        <v>-0.15</v>
      </c>
    </row>
    <row r="30" customFormat="false" ht="15" hidden="false" customHeight="false" outlineLevel="0" collapsed="false">
      <c r="A30" s="5" t="s">
        <v>48</v>
      </c>
      <c r="B30" s="15" t="n">
        <f aca="false">B25*(1+B29)</f>
        <v>0.00106606849663529</v>
      </c>
      <c r="C30" s="15" t="n">
        <f aca="false">C25*(1+C29)</f>
        <v>0.000944591731699143</v>
      </c>
      <c r="D30" s="15" t="n">
        <f aca="false">D25*(1+D29)</f>
        <v>0.000697618707439512</v>
      </c>
    </row>
    <row r="31" customFormat="false" ht="15" hidden="false" customHeight="false" outlineLevel="0" collapsed="false">
      <c r="A31" s="18" t="s">
        <v>49</v>
      </c>
      <c r="B31" s="19" t="n">
        <f aca="false">IF(OR(B26&lt;=0,B29=0),0,NORMSDIST((ABS(B30-B25)-$B$10*SQRT(B44*(1-B44)*(1/B43+1/B42)))/SQRT(B25*(1-B25)/B43+B30*(1-B30)/B42)))</f>
        <v>0.833642091009647</v>
      </c>
      <c r="C31" s="19" t="n">
        <f aca="false">IF(OR(C26&lt;=0,C29=0),0,NORMSDIST((ABS(C30-C25)-$B$10*SQRT(C44*(1-C44)*(1/C43+1/C42)))/SQRT(C25*(1-C25)/C43+C30*(1-C30)/C42)))</f>
        <v>0.379325029852179</v>
      </c>
      <c r="D31" s="19" t="n">
        <f aca="false">IF(OR(D26&lt;=0,D29=0),0,NORMSDIST((ABS(D30-D25)-$B$10*SQRT(D44*(1-D44)*(1/D43+1/D42)))/SQRT(D25*(1-D25)/D43+D30*(1-D30)/D42)))</f>
        <v>0.996923501492287</v>
      </c>
      <c r="E31" s="7" t="s">
        <v>50</v>
      </c>
    </row>
    <row r="32" customFormat="false" ht="15" hidden="false" customHeight="false" outlineLevel="0" collapsed="false">
      <c r="A32" s="18" t="s">
        <v>51</v>
      </c>
      <c r="B32" s="20" t="str">
        <f aca="false">IF(B31&gt;=$B$6,"SÍ","NO")</f>
        <v>SÍ</v>
      </c>
      <c r="C32" s="20" t="str">
        <f aca="false">IF(C31&gt;=$B$6,"SÍ","NO")</f>
        <v>NO</v>
      </c>
      <c r="D32" s="20" t="str">
        <f aca="false">IF(D31&gt;=$B$6,"SÍ","NO")</f>
        <v>SÍ</v>
      </c>
    </row>
    <row r="33" customFormat="false" ht="22.35" hidden="false" customHeight="false" outlineLevel="0" collapsed="false">
      <c r="A33" s="5" t="s">
        <v>52</v>
      </c>
      <c r="B33" s="17" t="n">
        <f aca="false">IF(B26&lt;=0,"n/a",B49/B25)</f>
        <v>0.28611986853037</v>
      </c>
      <c r="C33" s="17" t="n">
        <f aca="false">IF(C26&lt;=0,"n/a",C49/C25)</f>
        <v>0.260730906417824</v>
      </c>
      <c r="D33" s="17" t="n">
        <f aca="false">IF(D26&lt;=0,"n/a",D49/D25)</f>
        <v>0.0951582685017244</v>
      </c>
      <c r="E33" s="7" t="s">
        <v>53</v>
      </c>
    </row>
    <row r="34" customFormat="false" ht="15" hidden="false" customHeight="false" outlineLevel="0" collapsed="false">
      <c r="A34" s="5" t="s">
        <v>54</v>
      </c>
      <c r="B34" s="16" t="n">
        <f aca="false">B27*B29</f>
        <v>69.1304417433502</v>
      </c>
      <c r="C34" s="16" t="n">
        <f aca="false">C27*C29</f>
        <v>41.175</v>
      </c>
      <c r="D34" s="16" t="n">
        <f aca="false">D27*D29</f>
        <v>-286.475070390308</v>
      </c>
      <c r="E34" s="7" t="s">
        <v>55</v>
      </c>
    </row>
    <row r="35" customFormat="false" ht="30" hidden="false" customHeight="true" outlineLevel="0" collapsed="false">
      <c r="A35" s="5" t="s">
        <v>56</v>
      </c>
      <c r="B35" s="21" t="n">
        <f aca="false">(B27+B34)*(B18-B17)</f>
        <v>149782.623777259</v>
      </c>
      <c r="C35" s="21" t="n">
        <f aca="false">(C27+C34)*(C18-C17)</f>
        <v>78918.75</v>
      </c>
      <c r="D35" s="21" t="n">
        <f aca="false">(D27+D34)*(D18-D17)</f>
        <v>-405839.683052936</v>
      </c>
      <c r="E35" s="7" t="s">
        <v>57</v>
      </c>
    </row>
    <row r="36" customFormat="false" ht="30" hidden="false" customHeight="true" outlineLevel="0" collapsed="false">
      <c r="A36" s="18" t="s">
        <v>58</v>
      </c>
      <c r="B36" s="22" t="n">
        <f aca="false">IF(B29=0,"n/a",ROUNDUP(((($B$10*SQRT(2*((B25+B30)/2)*(1-(B25+B30)/2))+$B$11*SQRT(B25*(1-B25)+B30*(1-B30)))^2)/(B30-B25)^2)/(1-$B$8),0))</f>
        <v>257227</v>
      </c>
      <c r="C36" s="22" t="n">
        <f aca="false">IF(C29=0,"n/a",ROUNDUP(((($B$10*SQRT(2*((C25+C30)/2)*(1-(C25+C30)/2))+$B$11*SQRT(C25*(1-C25)+C30*(1-C30)))^2)/(C30-C25)^2)/(1-$B$8),0))</f>
        <v>960306</v>
      </c>
      <c r="D36" s="22" t="n">
        <f aca="false">IF(D29=0,"n/a",ROUNDUP(((($B$10*SQRT(2*((D25+D30)/2)*(1-(D25+D30)/2))+$B$11*SQRT(D25*(1-D25)+D30*(1-D30)))^2)/(D30-D25)^2)/(1-$B$8),0))</f>
        <v>827073</v>
      </c>
      <c r="E36" s="7" t="s">
        <v>59</v>
      </c>
    </row>
    <row r="37" customFormat="false" ht="42" hidden="false" customHeight="true" outlineLevel="0" collapsed="false">
      <c r="A37" s="18" t="s">
        <v>60</v>
      </c>
      <c r="B37" s="20" t="str">
        <f aca="false">IF(ISNUMBER(B36),IF(2*B36&lt;=B19,"SÍ, cabe","NO: necesitas "&amp;TEXT(2*B36,"#,##0")&amp;" y tienes "&amp;TEXT(B19,"#,##0")),"n/a")</f>
        <v>SÍ, cabe</v>
      </c>
      <c r="C37" s="20" t="str">
        <f aca="false">IF(ISNUMBER(C36),IF(2*C36&lt;=C19,"SÍ, cabe","NO: necesitas "&amp;TEXT(2*C36,"#,##0")&amp;" y tienes "&amp;TEXT(C19,"#,##0")),"n/a")</f>
        <v>NO: necesitas 1,920,612 y tienes 668,384</v>
      </c>
      <c r="D37" s="20" t="str">
        <f aca="false">IF(ISNUMBER(D36),IF(2*D36&lt;=D19,"SÍ, cabe","NO: necesitas "&amp;TEXT(2*D36,"#,##0")&amp;" y tienes "&amp;TEXT(D19,"#,##0")),"n/a")</f>
        <v>SÍ, cabe</v>
      </c>
      <c r="E37" s="7" t="s">
        <v>61</v>
      </c>
    </row>
    <row r="38" customFormat="false" ht="23.85" hidden="false" customHeight="false" outlineLevel="0" collapsed="false">
      <c r="A38" s="18" t="s">
        <v>62</v>
      </c>
      <c r="B38" s="22" t="n">
        <f aca="false">IF(COUNT(F52:F58)=0,"No llega ni con todo el pool",MIN(F52:F58))</f>
        <v>224864</v>
      </c>
      <c r="C38" s="22" t="str">
        <f aca="false">IF(COUNT(G52:G58)=0,"No llega ni con todo el pool",MIN(G52:G58))</f>
        <v>No llega ni con todo el pool</v>
      </c>
      <c r="D38" s="22" t="n">
        <f aca="false">IF(COUNT(H52:H58)=0,"No llega ni con todo el pool",MIN(H52:H58))</f>
        <v>698161</v>
      </c>
      <c r="E38" s="7" t="s">
        <v>63</v>
      </c>
    </row>
    <row r="39" customFormat="false" ht="55.5" hidden="false" customHeight="true" outlineLevel="0" collapsed="false">
      <c r="A39" s="18" t="s">
        <v>64</v>
      </c>
      <c r="B39" s="20" t="str">
        <f aca="false">IF(B26&lt;0,"Tratamiento mayor al pool. Bájalo.",IF(B32="SÍ","Corre con "&amp;TEXT(B21,"#,##0")&amp;" en tratamiento.",IF(ISNUMBER(B38),"Sube tratamiento a "&amp;TEXT(B38,"#,##0")&amp;".","No se puede medir en 1 mes con este cambio esperado. Cambia la métrica por una más frecuente o espera un cambio mayor.")))</f>
        <v>Corre con 281,000 en tratamiento.</v>
      </c>
      <c r="C39" s="20" t="str">
        <f aca="false">IF(C26&lt;0,"Tratamiento mayor al pool. Bájalo.",IF(C32="SÍ","Corre con "&amp;TEXT(C21,"#,##0")&amp;" en tratamiento.",IF(ISNUMBER(C38),"Sube tratamiento a "&amp;TEXT(C38,"#,##0")&amp;".","No se puede medir en 1 mes con este cambio esperado. Cambia la métrica por una más frecuente o espera un cambio mayor.")))</f>
        <v>No se puede medir en 1 mes con este cambio esperado. Cambia la métrica por una más frecuente o espera un cambio mayor.</v>
      </c>
      <c r="D39" s="20" t="str">
        <f aca="false">IF(D26&lt;0,"Tratamiento mayor al pool. Bájalo.",IF(D32="SÍ","Corre con "&amp;TEXT(D21,"#,##0")&amp;" en tratamiento.",IF(ISNUMBER(D38),"Sube tratamiento a "&amp;TEXT(D38,"#,##0")&amp;".","No se puede medir en 1 mes con este cambio esperado. Cambia la métrica por una más frecuente o espera un cambio mayor.")))</f>
        <v>Corre con 2,327,000 en tratamiento.</v>
      </c>
    </row>
    <row r="41" customFormat="false" ht="15" hidden="false" customHeight="false" outlineLevel="0" collapsed="false">
      <c r="A41" s="23" t="s">
        <v>65</v>
      </c>
      <c r="B41" s="24" t="s">
        <v>22</v>
      </c>
      <c r="C41" s="24" t="s">
        <v>23</v>
      </c>
      <c r="D41" s="24" t="s">
        <v>24</v>
      </c>
      <c r="E41" s="24"/>
    </row>
    <row r="42" customFormat="false" ht="15" hidden="false" customHeight="false" outlineLevel="0" collapsed="false">
      <c r="A42" s="5" t="s">
        <v>66</v>
      </c>
      <c r="B42" s="16" t="n">
        <f aca="false">B21*(1-$B$8)</f>
        <v>266950</v>
      </c>
      <c r="C42" s="16" t="n">
        <f aca="false">C21*(1-$B$8)</f>
        <v>317482.4</v>
      </c>
      <c r="D42" s="16" t="n">
        <f aca="false">D21*(1-$B$8)</f>
        <v>2210650</v>
      </c>
    </row>
    <row r="43" customFormat="false" ht="15" hidden="false" customHeight="false" outlineLevel="0" collapsed="false">
      <c r="A43" s="5" t="s">
        <v>67</v>
      </c>
      <c r="B43" s="16" t="n">
        <f aca="false">MAX(B26,1)*(1-$B$8)</f>
        <v>267101.05</v>
      </c>
      <c r="C43" s="16" t="n">
        <f aca="false">MAX(C26,1)*(1-$B$8)</f>
        <v>317482.4</v>
      </c>
      <c r="D43" s="16" t="n">
        <f aca="false">MAX(D26,1)*(1-$B$8)</f>
        <v>2211034.75</v>
      </c>
    </row>
    <row r="44" customFormat="false" ht="15" hidden="false" customHeight="false" outlineLevel="0" collapsed="false">
      <c r="A44" s="5" t="s">
        <v>68</v>
      </c>
      <c r="B44" s="25" t="n">
        <f aca="false">(B43*B25+B42*B30)/(B43+B42)</f>
        <v>0.000943025801852056</v>
      </c>
      <c r="C44" s="25" t="n">
        <f aca="false">(C43*C25+C42*C30)/(C43+C42)</f>
        <v>0.000882987923110069</v>
      </c>
      <c r="D44" s="25" t="n">
        <f aca="false">(D43*D25+D42*D30)/(D43+D42)</f>
        <v>0.000759178655404867</v>
      </c>
    </row>
    <row r="45" customFormat="false" ht="15" hidden="false" customHeight="false" outlineLevel="0" collapsed="false">
      <c r="A45" s="5" t="s">
        <v>69</v>
      </c>
      <c r="B45" s="25" t="n">
        <f aca="false">($B$10+$B$11)*SQRT(B25*(1-B25)*(1/B43+1/B42))</f>
        <v>0.000219475070481767</v>
      </c>
      <c r="C45" s="25" t="n">
        <f aca="false">($B$10+$B$11)*SQRT(C25*(1-C25)*(1/C43+1/C42))</f>
        <v>0.000201443715395474</v>
      </c>
      <c r="D45" s="25" t="n">
        <f aca="false">($B$10+$B$11)*SQRT(D25*(1-D25)*(1/D43+1/D42))</f>
        <v>7.63064502860877E-005</v>
      </c>
    </row>
    <row r="46" customFormat="false" ht="15" hidden="false" customHeight="false" outlineLevel="0" collapsed="false">
      <c r="A46" s="5" t="s">
        <v>70</v>
      </c>
      <c r="B46" s="25" t="n">
        <f aca="false">$B$10*SQRT(((B43*B25+B42*(B25+B45))/(B43+B42))*(1-((B43*B25+B42*(B25+B45))/(B43+B42)))*(1/B43+1/B42))+$B$11*SQRT(B25*(1-B25)/B43+(B25+B45)*(1-B25-B45)/B42)</f>
        <v>0.00023368413016945</v>
      </c>
      <c r="C46" s="25" t="n">
        <f aca="false">$B$10*SQRT(((C43*C25+C42*(C25+C45))/(C43+C42))*(1-((C43*C25+C42*(C25+C45))/(C43+C42)))*(1/C43+1/C42))+$B$11*SQRT(C25*(1-C25)/C43+(C25+C45)*(1-C25-C45)/C42)</f>
        <v>0.000213426519316081</v>
      </c>
      <c r="D46" s="25" t="n">
        <f aca="false">$B$10*SQRT(((D43*D25+D42*(D25+D45))/(D43+D42))*(1-((D43*D25+D42*(D25+D45))/(D43+D42)))*(1/D43+1/D42))+$B$11*SQRT(D25*(1-D25)/D43+(D25+D45)*(1-D25-D45)/D42)</f>
        <v>7.80583639702972E-005</v>
      </c>
    </row>
    <row r="47" customFormat="false" ht="15" hidden="false" customHeight="false" outlineLevel="0" collapsed="false">
      <c r="A47" s="5" t="s">
        <v>71</v>
      </c>
      <c r="B47" s="25" t="n">
        <f aca="false">$B$10*SQRT(((B43*B25+B42*(B25+B46))/(B43+B42))*(1-((B43*B25+B42*(B25+B46))/(B43+B42)))*(1/B43+1/B42))+$B$11*SQRT(B25*(1-B25)/B43+(B25+B46)*(1-B25-B46)/B42)</f>
        <v>0.00023457424210403</v>
      </c>
      <c r="C47" s="25" t="n">
        <f aca="false">$B$10*SQRT(((C43*C25+C42*(C25+C46))/(C43+C42))*(1-((C43*C25+C42*(C25+C46))/(C43+C42)))*(1/C43+1/C42))+$B$11*SQRT(C25*(1-C25)/C43+(C25+C46)*(1-C25-C46)/C42)</f>
        <v>0.000214118085343449</v>
      </c>
      <c r="D47" s="25" t="n">
        <f aca="false">$B$10*SQRT(((D43*D25+D42*(D25+D46))/(D43+D42))*(1-((D43*D25+D42*(D25+D46))/(D43+D42)))*(1/D43+1/D42))+$B$11*SQRT(D25*(1-D25)/D43+(D25+D46)*(1-D25-D46)/D42)</f>
        <v>7.80981225045379E-005</v>
      </c>
    </row>
    <row r="48" customFormat="false" ht="15" hidden="false" customHeight="false" outlineLevel="0" collapsed="false">
      <c r="A48" s="5" t="s">
        <v>72</v>
      </c>
      <c r="B48" s="25" t="n">
        <f aca="false">$B$10*SQRT(((B43*B25+B42*(B25+B47))/(B43+B42))*(1-((B43*B25+B42*(B25+B47))/(B43+B42)))*(1/B43+1/B42))+$B$11*SQRT(B25*(1-B25)/B43+(B25+B47)*(1-B25-B47)/B42)</f>
        <v>0.00023462988930975</v>
      </c>
      <c r="C48" s="25" t="n">
        <f aca="false">$B$10*SQRT(((C43*C25+C42*(C25+C47))/(C43+C42))*(1-((C43*C25+C42*(C25+C47))/(C43+C42)))*(1/C43+1/C42))+$B$11*SQRT(C25*(1-C25)/C43+(C25+C47)*(1-C25-C47)/C42)</f>
        <v>0.00021415792934427</v>
      </c>
      <c r="D48" s="25" t="n">
        <f aca="false">$B$10*SQRT(((D43*D25+D42*(D25+D47))/(D43+D42))*(1-((D43*D25+D42*(D25+D47))/(D43+D42)))*(1/D43+1/D42))+$B$11*SQRT(D25*(1-D25)/D43+(D25+D47)*(1-D25-D47)/D42)</f>
        <v>7.80990245625121E-005</v>
      </c>
    </row>
    <row r="49" customFormat="false" ht="15" hidden="false" customHeight="false" outlineLevel="0" collapsed="false">
      <c r="A49" s="5" t="s">
        <v>73</v>
      </c>
      <c r="B49" s="25" t="n">
        <f aca="false">$B$10*SQRT(((B43*B25+B42*(B25+B48))/(B43+B42))*(1-((B43*B25+B42*(B25+B48))/(B43+B42)))*(1/B43+1/B42))+$B$11*SQRT(B25*(1-B25)/B43+(B25+B48)*(1-B25-B48)/B42)</f>
        <v>0.000234633367770507</v>
      </c>
      <c r="C49" s="25" t="n">
        <f aca="false">$B$10*SQRT(((C43*C25+C42*(C25+C48))/(C43+C42))*(1-((C43*C25+C42*(C25+C48))/(C43+C42)))*(1/C43+1/C42))+$B$11*SQRT(C25*(1-C25)/C43+(C25+C48)*(1-C25-C48)/C42)</f>
        <v>0.00021416022469626</v>
      </c>
      <c r="D49" s="25" t="n">
        <f aca="false">$B$10*SQRT(((D43*D25+D42*(D25+D48))/(D43+D42))*(1-((D43*D25+D42*(D25+D48))/(D43+D42)))*(1/D43+1/D42))+$B$11*SQRT(D25*(1-D25)/D43+(D25+D48)*(1-D25-D48)/D42)</f>
        <v>7.80990450286529E-005</v>
      </c>
    </row>
    <row r="51" customFormat="false" ht="23.85" hidden="false" customHeight="false" outlineLevel="0" collapsed="false">
      <c r="A51" s="23" t="s">
        <v>74</v>
      </c>
      <c r="B51" s="24" t="s">
        <v>22</v>
      </c>
      <c r="C51" s="24" t="s">
        <v>23</v>
      </c>
      <c r="D51" s="24" t="s">
        <v>24</v>
      </c>
      <c r="E51" s="24" t="s">
        <v>75</v>
      </c>
      <c r="F51" s="2" t="s">
        <v>76</v>
      </c>
    </row>
    <row r="52" customFormat="false" ht="15" hidden="false" customHeight="false" outlineLevel="0" collapsed="false">
      <c r="A52" s="26" t="n">
        <v>0.05</v>
      </c>
      <c r="B52" s="17" t="n">
        <f aca="false">IF(B$29=0,"",NORMSDIST((ABS(B$30-B$25)-$B$10*SQRT((((B$19*(1-$A52)*(1-$B$8))*B$25+(B$19*$A52*(1-$B$8))*B$30)/((B$19*(1-$A52)*(1-$B$8))+(B$19*$A52*(1-$B$8))))*(1-(((B$19*(1-$A52)*(1-$B$8))*B$25+(B$19*$A52*(1-$B$8))*B$30)/((B$19*(1-$A52)*(1-$B$8))+(B$19*$A52*(1-$B$8)))))*(1/(B$19*(1-$A52)*(1-$B$8))+1/(B$19*$A52*(1-$B$8)))))/SQRT(B$25*(1-B$25)/(B$19*(1-$A52)*(1-$B$8))+B$30*(1-B$30)/(B$19*$A52*(1-$B$8)))))</f>
        <v>0.296524476018358</v>
      </c>
      <c r="C52" s="17" t="n">
        <f aca="false">IF(C$29=0,"",NORMSDIST((ABS(C$30-C$25)-$B$10*SQRT((((C$19*(1-$A52)*(1-$B$8))*C$25+(C$19*$A52*(1-$B$8))*C$30)/((C$19*(1-$A52)*(1-$B$8))+(C$19*$A52*(1-$B$8))))*(1-(((C$19*(1-$A52)*(1-$B$8))*C$25+(C$19*$A52*(1-$B$8))*C$30)/((C$19*(1-$A52)*(1-$B$8))+(C$19*$A52*(1-$B$8)))))*(1/(C$19*(1-$A52)*(1-$B$8))+1/(C$19*$A52*(1-$B$8)))))/SQRT(C$25*(1-C$25)/(C$19*(1-$A52)*(1-$B$8))+C$30*(1-C$30)/(C$19*$A52*(1-$B$8)))))</f>
        <v>0.126765130489271</v>
      </c>
      <c r="D52" s="17" t="n">
        <f aca="false">IF(D$29=0,"",NORMSDIST((ABS(D$30-D$25)-$B$10*SQRT((((D$19*(1-$A52)*(1-$B$8))*D$25+(D$19*$A52*(1-$B$8))*D$30)/((D$19*(1-$A52)*(1-$B$8))+(D$19*$A52*(1-$B$8))))*(1-(((D$19*(1-$A52)*(1-$B$8))*D$25+(D$19*$A52*(1-$B$8))*D$30)/((D$19*(1-$A52)*(1-$B$8))+(D$19*$A52*(1-$B$8)))))*(1/(D$19*(1-$A52)*(1-$B$8))+1/(D$19*$A52*(1-$B$8)))))/SQRT(D$25*(1-D$25)/(D$19*(1-$A52)*(1-$B$8))+D$30*(1-D$30)/(D$19*$A52*(1-$B$8)))))</f>
        <v>0.50757784417896</v>
      </c>
      <c r="F52" s="27" t="str">
        <f aca="false">IF(AND(ISNUMBER(B52),B52&gt;=$B$6),ROUND(B$19*$A52,0),"")</f>
        <v/>
      </c>
      <c r="G52" s="27" t="str">
        <f aca="false">IF(AND(ISNUMBER(C52),C52&gt;=$B$6),ROUND(C$19*$A52,0),"")</f>
        <v/>
      </c>
      <c r="H52" s="27" t="str">
        <f aca="false">IF(AND(ISNUMBER(D52),D52&gt;=$B$6),ROUND(D$19*$A52,0),"")</f>
        <v/>
      </c>
    </row>
    <row r="53" customFormat="false" ht="15" hidden="false" customHeight="false" outlineLevel="0" collapsed="false">
      <c r="A53" s="26" t="n">
        <v>0.1</v>
      </c>
      <c r="B53" s="17" t="n">
        <f aca="false">IF(B$29=0,"",NORMSDIST((ABS(B$30-B$25)-$B$10*SQRT((((B$19*(1-$A53)*(1-$B$8))*B$25+(B$19*$A53*(1-$B$8))*B$30)/((B$19*(1-$A53)*(1-$B$8))+(B$19*$A53*(1-$B$8))))*(1-(((B$19*(1-$A53)*(1-$B$8))*B$25+(B$19*$A53*(1-$B$8))*B$30)/((B$19*(1-$A53)*(1-$B$8))+(B$19*$A53*(1-$B$8)))))*(1/(B$19*(1-$A53)*(1-$B$8))+1/(B$19*$A53*(1-$B$8)))))/SQRT(B$25*(1-B$25)/(B$19*(1-$A53)*(1-$B$8))+B$30*(1-B$30)/(B$19*$A53*(1-$B$8)))))</f>
        <v>0.462915743014895</v>
      </c>
      <c r="C53" s="17" t="n">
        <f aca="false">IF(C$29=0,"",NORMSDIST((ABS(C$30-C$25)-$B$10*SQRT((((C$19*(1-$A53)*(1-$B$8))*C$25+(C$19*$A53*(1-$B$8))*C$30)/((C$19*(1-$A53)*(1-$B$8))+(C$19*$A53*(1-$B$8))))*(1-(((C$19*(1-$A53)*(1-$B$8))*C$25+(C$19*$A53*(1-$B$8))*C$30)/((C$19*(1-$A53)*(1-$B$8))+(C$19*$A53*(1-$B$8)))))*(1/(C$19*(1-$A53)*(1-$B$8))+1/(C$19*$A53*(1-$B$8)))))/SQRT(C$25*(1-C$25)/(C$19*(1-$A53)*(1-$B$8))+C$30*(1-C$30)/(C$19*$A53*(1-$B$8)))))</f>
        <v>0.18714453759629</v>
      </c>
      <c r="D53" s="17" t="n">
        <f aca="false">IF(D$29=0,"",NORMSDIST((ABS(D$30-D$25)-$B$10*SQRT((((D$19*(1-$A53)*(1-$B$8))*D$25+(D$19*$A53*(1-$B$8))*D$30)/((D$19*(1-$A53)*(1-$B$8))+(D$19*$A53*(1-$B$8))))*(1-(((D$19*(1-$A53)*(1-$B$8))*D$25+(D$19*$A53*(1-$B$8))*D$30)/((D$19*(1-$A53)*(1-$B$8))+(D$19*$A53*(1-$B$8)))))*(1/(D$19*(1-$A53)*(1-$B$8))+1/(D$19*$A53*(1-$B$8)))))/SQRT(D$25*(1-D$25)/(D$19*(1-$A53)*(1-$B$8))+D$30*(1-D$30)/(D$19*$A53*(1-$B$8)))))</f>
        <v>0.79513392381669</v>
      </c>
      <c r="F53" s="27" t="str">
        <f aca="false">IF(AND(ISNUMBER(B53),B53&gt;=$B$6),ROUND(B$19*$A53,0),"")</f>
        <v/>
      </c>
      <c r="G53" s="27" t="str">
        <f aca="false">IF(AND(ISNUMBER(C53),C53&gt;=$B$6),ROUND(C$19*$A53,0),"")</f>
        <v/>
      </c>
      <c r="H53" s="27" t="str">
        <f aca="false">IF(AND(ISNUMBER(D53),D53&gt;=$B$6),ROUND(D$19*$A53,0),"")</f>
        <v/>
      </c>
    </row>
    <row r="54" customFormat="false" ht="15" hidden="false" customHeight="false" outlineLevel="0" collapsed="false">
      <c r="A54" s="26" t="n">
        <v>0.15</v>
      </c>
      <c r="B54" s="17" t="n">
        <f aca="false">IF(B$29=0,"",NORMSDIST((ABS(B$30-B$25)-$B$10*SQRT((((B$19*(1-$A54)*(1-$B$8))*B$25+(B$19*$A54*(1-$B$8))*B$30)/((B$19*(1-$A54)*(1-$B$8))+(B$19*$A54*(1-$B$8))))*(1-(((B$19*(1-$A54)*(1-$B$8))*B$25+(B$19*$A54*(1-$B$8))*B$30)/((B$19*(1-$A54)*(1-$B$8))+(B$19*$A54*(1-$B$8)))))*(1/(B$19*(1-$A54)*(1-$B$8))+1/(B$19*$A54*(1-$B$8)))))/SQRT(B$25*(1-B$25)/(B$19*(1-$A54)*(1-$B$8))+B$30*(1-B$30)/(B$19*$A54*(1-$B$8)))))</f>
        <v>0.584526275265234</v>
      </c>
      <c r="C54" s="17" t="n">
        <f aca="false">IF(C$29=0,"",NORMSDIST((ABS(C$30-C$25)-$B$10*SQRT((((C$19*(1-$A54)*(1-$B$8))*C$25+(C$19*$A54*(1-$B$8))*C$30)/((C$19*(1-$A54)*(1-$B$8))+(C$19*$A54*(1-$B$8))))*(1-(((C$19*(1-$A54)*(1-$B$8))*C$25+(C$19*$A54*(1-$B$8))*C$30)/((C$19*(1-$A54)*(1-$B$8))+(C$19*$A54*(1-$B$8)))))*(1/(C$19*(1-$A54)*(1-$B$8))+1/(C$19*$A54*(1-$B$8)))))/SQRT(C$25*(1-C$25)/(C$19*(1-$A54)*(1-$B$8))+C$30*(1-C$30)/(C$19*$A54*(1-$B$8)))))</f>
        <v>0.237594090132639</v>
      </c>
      <c r="D54" s="17" t="n">
        <f aca="false">IF(D$29=0,"",NORMSDIST((ABS(D$30-D$25)-$B$10*SQRT((((D$19*(1-$A54)*(1-$B$8))*D$25+(D$19*$A54*(1-$B$8))*D$30)/((D$19*(1-$A54)*(1-$B$8))+(D$19*$A54*(1-$B$8))))*(1-(((D$19*(1-$A54)*(1-$B$8))*D$25+(D$19*$A54*(1-$B$8))*D$30)/((D$19*(1-$A54)*(1-$B$8))+(D$19*$A54*(1-$B$8)))))*(1/(D$19*(1-$A54)*(1-$B$8))+1/(D$19*$A54*(1-$B$8)))))/SQRT(D$25*(1-D$25)/(D$19*(1-$A54)*(1-$B$8))+D$30*(1-D$30)/(D$19*$A54*(1-$B$8)))))</f>
        <v>0.916369149506601</v>
      </c>
      <c r="F54" s="27" t="str">
        <f aca="false">IF(AND(ISNUMBER(B54),B54&gt;=$B$6),ROUND(B$19*$A54,0),"")</f>
        <v/>
      </c>
      <c r="G54" s="27" t="str">
        <f aca="false">IF(AND(ISNUMBER(C54),C54&gt;=$B$6),ROUND(C$19*$A54,0),"")</f>
        <v/>
      </c>
      <c r="H54" s="27" t="n">
        <f aca="false">IF(AND(ISNUMBER(D54),D54&gt;=$B$6),ROUND(D$19*$A54,0),"")</f>
        <v>698161</v>
      </c>
    </row>
    <row r="55" customFormat="false" ht="15" hidden="false" customHeight="false" outlineLevel="0" collapsed="false">
      <c r="A55" s="26" t="n">
        <v>0.2</v>
      </c>
      <c r="B55" s="17" t="n">
        <f aca="false">IF(B$29=0,"",NORMSDIST((ABS(B$30-B$25)-$B$10*SQRT((((B$19*(1-$A55)*(1-$B$8))*B$25+(B$19*$A55*(1-$B$8))*B$30)/((B$19*(1-$A55)*(1-$B$8))+(B$19*$A55*(1-$B$8))))*(1-(((B$19*(1-$A55)*(1-$B$8))*B$25+(B$19*$A55*(1-$B$8))*B$30)/((B$19*(1-$A55)*(1-$B$8))+(B$19*$A55*(1-$B$8)))))*(1/(B$19*(1-$A55)*(1-$B$8))+1/(B$19*$A55*(1-$B$8)))))/SQRT(B$25*(1-B$25)/(B$19*(1-$A55)*(1-$B$8))+B$30*(1-B$30)/(B$19*$A55*(1-$B$8)))))</f>
        <v>0.671503950505927</v>
      </c>
      <c r="C55" s="17" t="n">
        <f aca="false">IF(C$29=0,"",NORMSDIST((ABS(C$30-C$25)-$B$10*SQRT((((C$19*(1-$A55)*(1-$B$8))*C$25+(C$19*$A55*(1-$B$8))*C$30)/((C$19*(1-$A55)*(1-$B$8))+(C$19*$A55*(1-$B$8))))*(1-(((C$19*(1-$A55)*(1-$B$8))*C$25+(C$19*$A55*(1-$B$8))*C$30)/((C$19*(1-$A55)*(1-$B$8))+(C$19*$A55*(1-$B$8)))))*(1/(C$19*(1-$A55)*(1-$B$8))+1/(C$19*$A55*(1-$B$8)))))/SQRT(C$25*(1-C$25)/(C$19*(1-$A55)*(1-$B$8))+C$30*(1-C$30)/(C$19*$A55*(1-$B$8)))))</f>
        <v>0.279516639181519</v>
      </c>
      <c r="D55" s="17" t="n">
        <f aca="false">IF(D$29=0,"",NORMSDIST((ABS(D$30-D$25)-$B$10*SQRT((((D$19*(1-$A55)*(1-$B$8))*D$25+(D$19*$A55*(1-$B$8))*D$30)/((D$19*(1-$A55)*(1-$B$8))+(D$19*$A55*(1-$B$8))))*(1-(((D$19*(1-$A55)*(1-$B$8))*D$25+(D$19*$A55*(1-$B$8))*D$30)/((D$19*(1-$A55)*(1-$B$8))+(D$19*$A55*(1-$B$8)))))*(1/(D$19*(1-$A55)*(1-$B$8))+1/(D$19*$A55*(1-$B$8)))))/SQRT(D$25*(1-D$25)/(D$19*(1-$A55)*(1-$B$8))+D$30*(1-D$30)/(D$19*$A55*(1-$B$8)))))</f>
        <v>0.963813145360621</v>
      </c>
      <c r="F55" s="27" t="str">
        <f aca="false">IF(AND(ISNUMBER(B55),B55&gt;=$B$6),ROUND(B$19*$A55,0),"")</f>
        <v/>
      </c>
      <c r="G55" s="27" t="str">
        <f aca="false">IF(AND(ISNUMBER(C55),C55&gt;=$B$6),ROUND(C$19*$A55,0),"")</f>
        <v/>
      </c>
      <c r="H55" s="27" t="n">
        <f aca="false">IF(AND(ISNUMBER(D55),D55&gt;=$B$6),ROUND(D$19*$A55,0),"")</f>
        <v>930881</v>
      </c>
    </row>
    <row r="56" customFormat="false" ht="15" hidden="false" customHeight="false" outlineLevel="0" collapsed="false">
      <c r="A56" s="26" t="n">
        <v>0.3</v>
      </c>
      <c r="B56" s="17" t="n">
        <f aca="false">IF(B$29=0,"",NORMSDIST((ABS(B$30-B$25)-$B$10*SQRT((((B$19*(1-$A56)*(1-$B$8))*B$25+(B$19*$A56*(1-$B$8))*B$30)/((B$19*(1-$A56)*(1-$B$8))+(B$19*$A56*(1-$B$8))))*(1-(((B$19*(1-$A56)*(1-$B$8))*B$25+(B$19*$A56*(1-$B$8))*B$30)/((B$19*(1-$A56)*(1-$B$8))+(B$19*$A56*(1-$B$8)))))*(1/(B$19*(1-$A56)*(1-$B$8))+1/(B$19*$A56*(1-$B$8)))))/SQRT(B$25*(1-B$25)/(B$19*(1-$A56)*(1-$B$8))+B$30*(1-B$30)/(B$19*$A56*(1-$B$8)))))</f>
        <v>0.775309578120823</v>
      </c>
      <c r="C56" s="17" t="n">
        <f aca="false">IF(C$29=0,"",NORMSDIST((ABS(C$30-C$25)-$B$10*SQRT((((C$19*(1-$A56)*(1-$B$8))*C$25+(C$19*$A56*(1-$B$8))*C$30)/((C$19*(1-$A56)*(1-$B$8))+(C$19*$A56*(1-$B$8))))*(1-(((C$19*(1-$A56)*(1-$B$8))*C$25+(C$19*$A56*(1-$B$8))*C$30)/((C$19*(1-$A56)*(1-$B$8))+(C$19*$A56*(1-$B$8)))))*(1/(C$19*(1-$A56)*(1-$B$8))+1/(C$19*$A56*(1-$B$8)))))/SQRT(C$25*(1-C$25)/(C$19*(1-$A56)*(1-$B$8))+C$30*(1-C$30)/(C$19*$A56*(1-$B$8)))))</f>
        <v>0.340166736556853</v>
      </c>
      <c r="D56" s="17" t="n">
        <f aca="false">IF(D$29=0,"",NORMSDIST((ABS(D$30-D$25)-$B$10*SQRT((((D$19*(1-$A56)*(1-$B$8))*D$25+(D$19*$A56*(1-$B$8))*D$30)/((D$19*(1-$A56)*(1-$B$8))+(D$19*$A56*(1-$B$8))))*(1-(((D$19*(1-$A56)*(1-$B$8))*D$25+(D$19*$A56*(1-$B$8))*D$30)/((D$19*(1-$A56)*(1-$B$8))+(D$19*$A56*(1-$B$8)))))*(1/(D$19*(1-$A56)*(1-$B$8))+1/(D$19*$A56*(1-$B$8)))))/SQRT(D$25*(1-D$25)/(D$19*(1-$A56)*(1-$B$8))+D$30*(1-D$30)/(D$19*$A56*(1-$B$8)))))</f>
        <v>0.990716985648439</v>
      </c>
      <c r="F56" s="27" t="str">
        <f aca="false">IF(AND(ISNUMBER(B56),B56&gt;=$B$6),ROUND(B$19*$A56,0),"")</f>
        <v/>
      </c>
      <c r="G56" s="27" t="str">
        <f aca="false">IF(AND(ISNUMBER(C56),C56&gt;=$B$6),ROUND(C$19*$A56,0),"")</f>
        <v/>
      </c>
      <c r="H56" s="27" t="n">
        <f aca="false">IF(AND(ISNUMBER(D56),D56&gt;=$B$6),ROUND(D$19*$A56,0),"")</f>
        <v>1396322</v>
      </c>
    </row>
    <row r="57" customFormat="false" ht="15" hidden="false" customHeight="false" outlineLevel="0" collapsed="false">
      <c r="A57" s="26" t="n">
        <v>0.4</v>
      </c>
      <c r="B57" s="17" t="n">
        <f aca="false">IF(B$29=0,"",NORMSDIST((ABS(B$30-B$25)-$B$10*SQRT((((B$19*(1-$A57)*(1-$B$8))*B$25+(B$19*$A57*(1-$B$8))*B$30)/((B$19*(1-$A57)*(1-$B$8))+(B$19*$A57*(1-$B$8))))*(1-(((B$19*(1-$A57)*(1-$B$8))*B$25+(B$19*$A57*(1-$B$8))*B$30)/((B$19*(1-$A57)*(1-$B$8))+(B$19*$A57*(1-$B$8)))))*(1/(B$19*(1-$A57)*(1-$B$8))+1/(B$19*$A57*(1-$B$8)))))/SQRT(B$25*(1-B$25)/(B$19*(1-$A57)*(1-$B$8))+B$30*(1-B$30)/(B$19*$A57*(1-$B$8)))))</f>
        <v>0.822055367812686</v>
      </c>
      <c r="C57" s="17" t="n">
        <f aca="false">IF(C$29=0,"",NORMSDIST((ABS(C$30-C$25)-$B$10*SQRT((((C$19*(1-$A57)*(1-$B$8))*C$25+(C$19*$A57*(1-$B$8))*C$30)/((C$19*(1-$A57)*(1-$B$8))+(C$19*$A57*(1-$B$8))))*(1-(((C$19*(1-$A57)*(1-$B$8))*C$25+(C$19*$A57*(1-$B$8))*C$30)/((C$19*(1-$A57)*(1-$B$8))+(C$19*$A57*(1-$B$8)))))*(1/(C$19*(1-$A57)*(1-$B$8))+1/(C$19*$A57*(1-$B$8)))))/SQRT(C$25*(1-C$25)/(C$19*(1-$A57)*(1-$B$8))+C$30*(1-C$30)/(C$19*$A57*(1-$B$8)))))</f>
        <v>0.372711646488239</v>
      </c>
      <c r="D57" s="17" t="n">
        <f aca="false">IF(D$29=0,"",NORMSDIST((ABS(D$30-D$25)-$B$10*SQRT((((D$19*(1-$A57)*(1-$B$8))*D$25+(D$19*$A57*(1-$B$8))*D$30)/((D$19*(1-$A57)*(1-$B$8))+(D$19*$A57*(1-$B$8))))*(1-(((D$19*(1-$A57)*(1-$B$8))*D$25+(D$19*$A57*(1-$B$8))*D$30)/((D$19*(1-$A57)*(1-$B$8))+(D$19*$A57*(1-$B$8)))))*(1/(D$19*(1-$A57)*(1-$B$8))+1/(D$19*$A57*(1-$B$8)))))/SQRT(D$25*(1-D$25)/(D$19*(1-$A57)*(1-$B$8))+D$30*(1-D$30)/(D$19*$A57*(1-$B$8)))))</f>
        <v>0.995979079431428</v>
      </c>
      <c r="F57" s="27" t="n">
        <f aca="false">IF(AND(ISNUMBER(B57),B57&gt;=$B$6),ROUND(B$19*$A57,0),"")</f>
        <v>224864</v>
      </c>
      <c r="G57" s="27" t="str">
        <f aca="false">IF(AND(ISNUMBER(C57),C57&gt;=$B$6),ROUND(C$19*$A57,0),"")</f>
        <v/>
      </c>
      <c r="H57" s="27" t="n">
        <f aca="false">IF(AND(ISNUMBER(D57),D57&gt;=$B$6),ROUND(D$19*$A57,0),"")</f>
        <v>1861762</v>
      </c>
    </row>
    <row r="58" customFormat="false" ht="15" hidden="false" customHeight="false" outlineLevel="0" collapsed="false">
      <c r="A58" s="26" t="n">
        <v>0.5</v>
      </c>
      <c r="B58" s="17" t="n">
        <f aca="false">IF(B$29=0,"",NORMSDIST((ABS(B$30-B$25)-$B$10*SQRT((((B$19*(1-$A58)*(1-$B$8))*B$25+(B$19*$A58*(1-$B$8))*B$30)/((B$19*(1-$A58)*(1-$B$8))+(B$19*$A58*(1-$B$8))))*(1-(((B$19*(1-$A58)*(1-$B$8))*B$25+(B$19*$A58*(1-$B$8))*B$30)/((B$19*(1-$A58)*(1-$B$8))+(B$19*$A58*(1-$B$8)))))*(1/(B$19*(1-$A58)*(1-$B$8))+1/(B$19*$A58*(1-$B$8)))))/SQRT(B$25*(1-B$25)/(B$19*(1-$A58)*(1-$B$8))+B$30*(1-B$30)/(B$19*$A58*(1-$B$8)))))</f>
        <v>0.833637561177275</v>
      </c>
      <c r="C58" s="17" t="n">
        <f aca="false">IF(C$29=0,"",NORMSDIST((ABS(C$30-C$25)-$B$10*SQRT((((C$19*(1-$A58)*(1-$B$8))*C$25+(C$19*$A58*(1-$B$8))*C$30)/((C$19*(1-$A58)*(1-$B$8))+(C$19*$A58*(1-$B$8))))*(1-(((C$19*(1-$A58)*(1-$B$8))*C$25+(C$19*$A58*(1-$B$8))*C$30)/((C$19*(1-$A58)*(1-$B$8))+(C$19*$A58*(1-$B$8)))))*(1/(C$19*(1-$A58)*(1-$B$8))+1/(C$19*$A58*(1-$B$8)))))/SQRT(C$25*(1-C$25)/(C$19*(1-$A58)*(1-$B$8))+C$30*(1-C$30)/(C$19*$A58*(1-$B$8)))))</f>
        <v>0.379325029852179</v>
      </c>
      <c r="D58" s="17" t="n">
        <f aca="false">IF(D$29=0,"",NORMSDIST((ABS(D$30-D$25)-$B$10*SQRT((((D$19*(1-$A58)*(1-$B$8))*D$25+(D$19*$A58*(1-$B$8))*D$30)/((D$19*(1-$A58)*(1-$B$8))+(D$19*$A58*(1-$B$8))))*(1-(((D$19*(1-$A58)*(1-$B$8))*D$25+(D$19*$A58*(1-$B$8))*D$30)/((D$19*(1-$A58)*(1-$B$8))+(D$19*$A58*(1-$B$8)))))*(1/(D$19*(1-$A58)*(1-$B$8))+1/(D$19*$A58*(1-$B$8)))))/SQRT(D$25*(1-D$25)/(D$19*(1-$A58)*(1-$B$8))+D$30*(1-D$30)/(D$19*$A58*(1-$B$8)))))</f>
        <v>0.996923475940705</v>
      </c>
      <c r="F58" s="27" t="n">
        <f aca="false">IF(AND(ISNUMBER(B58),B58&gt;=$B$6),ROUND(B$19*$A58,0),"")</f>
        <v>281080</v>
      </c>
      <c r="G58" s="27" t="str">
        <f aca="false">IF(AND(ISNUMBER(C58),C58&gt;=$B$6),ROUND(C$19*$A58,0),"")</f>
        <v/>
      </c>
      <c r="H58" s="27" t="n">
        <f aca="false">IF(AND(ISNUMBER(D58),D58&gt;=$B$6),ROUND(D$19*$A58,0),"")</f>
        <v>2327203</v>
      </c>
    </row>
    <row r="60" customFormat="false" ht="15" hidden="false" customHeight="true" outlineLevel="0" collapsed="false">
      <c r="A60" s="28" t="s">
        <v>77</v>
      </c>
      <c r="B60" s="28"/>
      <c r="C60" s="28"/>
      <c r="D60" s="28"/>
      <c r="E60" s="28"/>
    </row>
    <row r="61" customFormat="false" ht="15" hidden="false" customHeight="false" outlineLevel="0" collapsed="false">
      <c r="A61" s="28"/>
      <c r="B61" s="28"/>
      <c r="C61" s="28"/>
      <c r="D61" s="28"/>
      <c r="E61" s="28"/>
    </row>
  </sheetData>
  <mergeCells count="2">
    <mergeCell ref="B14:D14"/>
    <mergeCell ref="A60:E61"/>
  </mergeCells>
  <conditionalFormatting sqref="B52:D58">
    <cfRule type="cellIs" priority="2" operator="greaterThanOrEqual" aboveAverage="0" equalAverage="0" bottom="0" percent="0" rank="0" text="" dxfId="0">
      <formula>$B$6</formula>
    </cfRule>
  </conditionalFormatting>
  <conditionalFormatting sqref="B32:D32">
    <cfRule type="cellIs" priority="3" operator="equal" aboveAverage="0" equalAverage="0" bottom="0" percent="0" rank="0" text="" dxfId="1">
      <formula>"SÍ"</formula>
    </cfRule>
    <cfRule type="cellIs" priority="4" operator="equal" aboveAverage="0" equalAverage="0" bottom="0" percent="0" rank="0" text="" dxfId="2">
      <formula>"NO"</formula>
    </cfRule>
  </conditionalFormatting>
  <conditionalFormatting sqref="B37:D37">
    <cfRule type="cellIs" priority="5" operator="equal" aboveAverage="0" equalAverage="0" bottom="0" percent="0" rank="0" text="" dxfId="0">
      <formula>"SÍ, cabe"</formula>
    </cfRule>
    <cfRule type="cellIs" priority="6" operator="notEqual" aboveAverage="0" equalAverage="0" bottom="0" percent="0" rank="0" text="" dxfId="3">
      <formula>"SÍ, cabe"</formula>
    </cfRule>
  </conditionalFormatting>
  <conditionalFormatting sqref="B26:D26">
    <cfRule type="cellIs" priority="7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78</v>
      </c>
    </row>
    <row r="3" customFormat="false" ht="15" hidden="false" customHeight="false" outlineLevel="0" collapsed="false">
      <c r="A3" s="29" t="s">
        <v>79</v>
      </c>
    </row>
    <row r="4" customFormat="false" ht="15" hidden="false" customHeight="false" outlineLevel="0" collapsed="false">
      <c r="A4" s="29" t="s">
        <v>80</v>
      </c>
    </row>
    <row r="5" customFormat="false" ht="15" hidden="false" customHeight="false" outlineLevel="0" collapsed="false">
      <c r="A5" s="29" t="s">
        <v>81</v>
      </c>
    </row>
    <row r="6" customFormat="false" ht="23.85" hidden="false" customHeight="false" outlineLevel="0" collapsed="false">
      <c r="A6" s="29" t="s">
        <v>82</v>
      </c>
    </row>
    <row r="7" customFormat="false" ht="15" hidden="false" customHeight="false" outlineLevel="0" collapsed="false">
      <c r="A7" s="29" t="s">
        <v>83</v>
      </c>
    </row>
    <row r="8" customFormat="false" ht="15" hidden="false" customHeight="false" outlineLevel="0" collapsed="false">
      <c r="A8" s="29" t="s">
        <v>84</v>
      </c>
    </row>
    <row r="9" customFormat="false" ht="15" hidden="false" customHeight="false" outlineLevel="0" collapsed="false">
      <c r="A9" s="29" t="s">
        <v>85</v>
      </c>
    </row>
    <row r="10" customFormat="false" ht="15" hidden="false" customHeight="false" outlineLevel="0" collapsed="false">
      <c r="A10" s="29"/>
    </row>
    <row r="11" customFormat="false" ht="23.85" hidden="false" customHeight="false" outlineLevel="0" collapsed="false">
      <c r="A11" s="29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2026-10-08T19:52:32Z</dcterms:created>
  <dc:creator>openpyxl</dc:creator>
  <dc:description/>
  <dc:language>en-US</dc:language>
  <cp:lastModifiedBy/>
  <dcterms:modified xsi:type="dcterms:W3CDTF">2026-10-08T19:52:32Z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