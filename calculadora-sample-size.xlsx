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" sheetId="1" state="visible" r:id="rId3"/>
    <sheet name="Tabla_n" sheetId="2" state="visible" r:id="rId4"/>
    <sheet name="Instruccion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<sst xmlns="http://schemas.openxmlformats.org/spreadsheetml/2006/main" count="124" uniqueCount="111">
  <si>
    <t xml:space="preserve">Calculadora de sample size y poder: experimento de crédito por score</t>
  </si>
  <si>
    <t xml:space="preserve">Celdas azules con fondo amarillo = edítalas con tu data. Todo lo demás son fórmulas. Los valores actuales son EJEMPLOS, reemplázalos. El cálculo nunca usa más usuarios que tu tope.</t>
  </si>
  <si>
    <t xml:space="preserve">PARÁMETROS GENERALES</t>
  </si>
  <si>
    <t xml:space="preserve">Valor</t>
  </si>
  <si>
    <t xml:space="preserve">Qué es</t>
  </si>
  <si>
    <t xml:space="preserve">Alpha (riesgo de falso positivo)</t>
  </si>
  <si>
    <t xml:space="preserve">Estándar 0.05.</t>
  </si>
  <si>
    <t xml:space="preserve">Poder estadístico objetivo</t>
  </si>
  <si>
    <t xml:space="preserve">Estándar 0.80 (80% de probabilidad de detectar un efecto real).</t>
  </si>
  <si>
    <t xml:space="preserve">Número de comparaciones (tiers probados)</t>
  </si>
  <si>
    <t xml:space="preserve">3 si pruebas Excelente, Bueno y Bajo. Pon 1 si pruebas solo uno.</t>
  </si>
  <si>
    <t xml:space="preserve">Pérdidas / inactivos</t>
  </si>
  <si>
    <t xml:space="preserve">Se descuenta de tus usuarios (los que no activan o salen). Ej. 5%.</t>
  </si>
  <si>
    <t xml:space="preserve">Alpha ajustado (Bonferroni)</t>
  </si>
  <si>
    <t xml:space="preserve">Alpha / número de comparaciones.</t>
  </si>
  <si>
    <t xml:space="preserve">z de alpha</t>
  </si>
  <si>
    <t xml:space="preserve">Valor crítico de la normal (dos colas).</t>
  </si>
  <si>
    <t xml:space="preserve">z de poder</t>
  </si>
  <si>
    <t xml:space="preserve">Valor de la normal para el poder elegido.</t>
  </si>
  <si>
    <t xml:space="preserve">DATOS POR TIER (tú los llenas)</t>
  </si>
  <si>
    <t xml:space="preserve">Excelente</t>
  </si>
  <si>
    <t xml:space="preserve">Bueno</t>
  </si>
  <si>
    <t xml:space="preserve">Bajo</t>
  </si>
  <si>
    <t xml:space="preserve">Qué poner</t>
  </si>
  <si>
    <t xml:space="preserve">Crédito nuevo (MXN)</t>
  </si>
  <si>
    <t xml:space="preserve">Lo que recibirá el tier en el experimento. Hoy todos tienen 500.</t>
  </si>
  <si>
    <t xml:space="preserve">MÁXIMO de referidores disponibles en el tier (tope)</t>
  </si>
  <si>
    <t xml:space="preserve">El máximo que de verdad existe en el tier. Solo valida que no uses más de lo que hay.</t>
  </si>
  <si>
    <t xml:space="preserve">Usuarios en TRATAMIENTO (nuevo crédito)</t>
  </si>
  <si>
    <t xml:space="preserve">Cuántos referidores recibirán el crédito nuevo. Escríbelo tú. Tratamiento + control no deben pasar del tope.</t>
  </si>
  <si>
    <t xml:space="preserve">Usuarios en CONTROL (se quedan en 500 MXN)</t>
  </si>
  <si>
    <t xml:space="preserve">Cuántos referidores se quedan en 500 MXN para comparar. Lo más eficiente es igual que tratamiento.</t>
  </si>
  <si>
    <t xml:space="preserve">Loans nuevos al mes del tier (con 500 MXN)</t>
  </si>
  <si>
    <t xml:space="preserve">Referidos que obtuvieron loan en el último mes en ese tier. Dato del programa actual.</t>
  </si>
  <si>
    <t xml:space="preserve">Meses de ventana de medición</t>
  </si>
  <si>
    <t xml:space="preserve">Cuánto tiempo mides a cada usuario. Más meses = tasa más alta = más poder.</t>
  </si>
  <si>
    <t xml:space="preserve">Lift relativo esperado entre quienes usan el crédito</t>
  </si>
  <si>
    <t xml:space="preserve">Cuánto crees que cambia la tasa. Positivo si el crédito sube, negativo si baja (Bajo).</t>
  </si>
  <si>
    <t xml:space="preserve">Take-up (% que usa el crédito)</t>
  </si>
  <si>
    <t xml:space="preserve">% de quienes reciben el crédito que realmente lo usa. Diluye el efecto.</t>
  </si>
  <si>
    <t xml:space="preserve">RESULTADOS CON TUS USUARIOS</t>
  </si>
  <si>
    <t xml:space="preserve">Cómo leerlo</t>
  </si>
  <si>
    <t xml:space="preserve">Tasa base mensual (loans / tope)</t>
  </si>
  <si>
    <t xml:space="preserve">Aproximación: asume 1 loan por referidor al mes.</t>
  </si>
  <si>
    <t xml:space="preserve">Tasa base en la ventana (p1)</t>
  </si>
  <si>
    <t xml:space="preserve">Probabilidad de que un referidor traiga un loan en toda la ventana.</t>
  </si>
  <si>
    <t xml:space="preserve">Lift efectivo en todo el grupo (ITT)</t>
  </si>
  <si>
    <t xml:space="preserve">Lift relativo × take-up. Es el efecto que de verdad se mide.</t>
  </si>
  <si>
    <t xml:space="preserve">Tasa esperada con tratamiento (p2)</t>
  </si>
  <si>
    <t xml:space="preserve">Tasa base ajustada por el lift efectivo.</t>
  </si>
  <si>
    <t xml:space="preserve">Usuarios efectivos en tratamiento</t>
  </si>
  <si>
    <t xml:space="preserve">Tus usuarios en tratamiento menos pérdidas.</t>
  </si>
  <si>
    <t xml:space="preserve">Usuarios efectivos en control (500 MXN)</t>
  </si>
  <si>
    <t xml:space="preserve">Tus usuarios en control menos pérdidas.</t>
  </si>
  <si>
    <t xml:space="preserve">¿Tratamiento + control caben en el tope?</t>
  </si>
  <si>
    <t xml:space="preserve">Verde = no usas más referidores de los que existen.</t>
  </si>
  <si>
    <t xml:space="preserve">PODER real con tus usuarios</t>
  </si>
  <si>
    <t xml:space="preserve">Probabilidad de detectar el lift esperado con tus usuarios. Busca 80% o más.</t>
  </si>
  <si>
    <t xml:space="preserve">Efecto mínimo detectable relativo (todo el grupo)</t>
  </si>
  <si>
    <t xml:space="preserve">Con tus usuarios solo detectas cambios de este tamaño o mayores en la tasa base.</t>
  </si>
  <si>
    <t xml:space="preserve">Efecto mínimo detectable entre quienes usan el crédito</t>
  </si>
  <si>
    <t xml:space="preserve">Lo mismo, corregido por take-up. Compáralo con el lift que esperas.</t>
  </si>
  <si>
    <t xml:space="preserve">¿Detecta el lift esperado?</t>
  </si>
  <si>
    <t xml:space="preserve">SÍ = con tus usuarios llegas al poder objetivo.</t>
  </si>
  <si>
    <t xml:space="preserve">REFERENCIA: lo que necesitarías</t>
  </si>
  <si>
    <t xml:space="preserve">Usuarios totales que harían falta (con pérdidas)</t>
  </si>
  <si>
    <t xml:space="preserve">Para detectar el lift esperado con el poder objetivo y tu proporción tratamiento/control. Es solo referencia.</t>
  </si>
  <si>
    <t xml:space="preserve">¿Cabe en tu tope?</t>
  </si>
  <si>
    <t xml:space="preserve">Compara lo necesario contra el máximo que tienes.</t>
  </si>
  <si>
    <t xml:space="preserve">Meses de ventana para llegar al poder con tus usuarios</t>
  </si>
  <si>
    <t xml:space="preserve">Con tus usuarios y tu lift, cuántos meses mediría cada usuario para llegar a 80% (máx. 12). Asume meses independientes.</t>
  </si>
  <si>
    <t xml:space="preserve">Recomendación</t>
  </si>
  <si>
    <t xml:space="preserve">Qué hacer con este tier.</t>
  </si>
  <si>
    <t xml:space="preserve">CÁLCULO AUXILIAR (aquí no se escribe: cambia los datos de arriba)</t>
  </si>
  <si>
    <t xml:space="preserve">Para qué sirve</t>
  </si>
  <si>
    <t xml:space="preserve">k = tratamiento / control</t>
  </si>
  <si>
    <t xml:space="preserve">Razón entre grupos.</t>
  </si>
  <si>
    <t xml:space="preserve">n efectivo tratamiento</t>
  </si>
  <si>
    <t xml:space="preserve">Usuarios en tratamiento × (1 - pérdidas).</t>
  </si>
  <si>
    <t xml:space="preserve">n efectivo control</t>
  </si>
  <si>
    <t xml:space="preserve">Usuarios en control × (1 - pérdidas).</t>
  </si>
  <si>
    <t xml:space="preserve">Tasa combinada bajo H0</t>
  </si>
  <si>
    <t xml:space="preserve">Media ponderada de p1 y p2, para el error estándar.</t>
  </si>
  <si>
    <t xml:space="preserve">Iteración 0 del efecto mínimo (pp)</t>
  </si>
  <si>
    <t xml:space="preserve">Aproximación inicial.</t>
  </si>
  <si>
    <t xml:space="preserve">Iteración 1</t>
  </si>
  <si>
    <t xml:space="preserve">Iteración 2</t>
  </si>
  <si>
    <t xml:space="preserve">Iteración 3</t>
  </si>
  <si>
    <t xml:space="preserve">Iteración 4 = efecto mínimo detectable (pp absolutos)</t>
  </si>
  <si>
    <t xml:space="preserve">Converge en 4 pasos.</t>
  </si>
  <si>
    <t xml:space="preserve">PODER POR MESES DE VENTANA (auxiliar)</t>
  </si>
  <si>
    <t xml:space="preserve">Poder con tus usuarios si midieras cada uno por N meses</t>
  </si>
  <si>
    <t xml:space="preserve">Supuestos: prueba de dos proporciones, dos colas, aproximación normal, con grupos de tamaño distinto si tratamiento y control no son iguales. La tasa base mensual asume 1 loan por referidor; si hay referidores con varios loans, la tasa real es menor. Tasa acumulada = 1-(1-p)^meses asume meses independientes (en la práctica es algo menor). Si tu máximo de 10K es el TOTAL entre los 3 tiers y no por tier, repártelo en las filas de tratamiento y control de cada tier.</t>
  </si>
  <si>
    <t xml:space="preserve">Usuarios necesarios por brazo según tasa base y lift (referencia, 50/50)</t>
  </si>
  <si>
    <t xml:space="preserve">Usa el alpha, poder y comparaciones de la hoja Calculadora. Es solo referencia: compara contra tu tope. Edita los valores azules para cambiar la rejilla.</t>
  </si>
  <si>
    <t xml:space="preserve">Take-up para esta tabla</t>
  </si>
  <si>
    <t xml:space="preserve">100% = todos usan el crédito. Baja el valor para ver el efecto de la dilución.</t>
  </si>
  <si>
    <t xml:space="preserve">Tasa base \ Lift relativo entre quienes usan</t>
  </si>
  <si>
    <t xml:space="preserve">Cada celda = usuarios por brazo (tratamiento o control), sin margen de pérdidas. Multiplica por 2 para el total del tier.</t>
  </si>
  <si>
    <t xml:space="preserve">Cómo usar esta hoja (2 minutos)</t>
  </si>
  <si>
    <t xml:space="preserve">1. En la hoja Calculadora, cambia las celdas azules con fondo amarillo. Los números actuales son ejemplos.</t>
  </si>
  <si>
    <t xml:space="preserve">2. Parámetros generales: deja alpha 0.05 y poder 0.80 salvo que tengas otra regla. Pon en comparaciones cuántos tiers pruebas (3 si Excelente, Bueno y Bajo).</t>
  </si>
  <si>
    <t xml:space="preserve">3. Por tier: tu TOPE de referidores (el máximo que existe), cuántos usuarios pones en TRATAMIENTO y cuántos en CONTROL (los escribes tú), loans nuevos al mes con 500 MXN, meses de ventana, lift esperado y take-up.</t>
  </si>
  <si>
    <t xml:space="preserve">4. Lee primero 'PODER real con tus usuarios' y '¿Detecta el lift esperado?'. Esos números usan exactamente los usuarios que escribiste. La fila verde/roja te avisa si pasas el tope.</t>
  </si>
  <si>
    <t xml:space="preserve">5. Si dice NO, mira 'Efecto mínimo detectable' (lo más chico que sí verías con tus usuarios) y 'Meses de ventana para llegar al poder'.</t>
  </si>
  <si>
    <t xml:space="preserve">6. 'Referencia: lo que necesitarías' es solo para comparar contra tu tope. Si no cabe, no lo persigas: alarga la ventana, prueba menos tiers o espera un lift mayor.</t>
  </si>
  <si>
    <t xml:space="preserve">7. La hoja Tabla_n da una rejilla de referencia: usuarios por brazo para cada tasa base y lift (50/50).</t>
  </si>
  <si>
    <t xml:space="preserve">De dónde sale cada dato:</t>
  </si>
  <si>
    <t xml:space="preserve">Tope: referidores activos del tier. Loans al mes: referidos con loan del tier en el último mes. Lift: tu hipótesis (qué mejora justificaría pagar más crédito).</t>
  </si>
  <si>
    <t xml:space="preserve">Take-up: de los que reciben el crédito, % que realmente lo usa. Si no lo tienes, prueba 100%, 60% y 40% para ver la sensibilidad.</t>
  </si>
  <si>
    <t xml:space="preserve">Nota: el tier Regular no cambia (se queda en 500), por eso no entra a la calculadora. Se usa como referencia de tendencia, no como control de los demás tiers.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</si>
</sst>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0.00"/>
    <numFmt numFmtId="167" formatCode="0"/>
    <numFmt numFmtId="168" formatCode="0.0%"/>
    <numFmt numFmtId="169" formatCode="0.0000"/>
    <numFmt numFmtId="170" formatCode="#,##0"/>
    <numFmt numFmtId="171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9"/>
    <col collapsed="false" customWidth="true" hidden="false" outlineLevel="0" max="5" min="5" style="0" width="72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2</v>
      </c>
      <c r="B4" s="5" t="s">
        <v>3</v>
      </c>
      <c r="C4" s="5"/>
      <c r="D4" s="5"/>
      <c r="E4" s="5" t="s">
        <v>4</v>
      </c>
      <c r="F4" s="2"/>
    </row>
    <row r="5" customFormat="false" ht="15" hidden="false" customHeight="false" outlineLevel="0" collapsed="false">
      <c r="A5" s="6" t="s">
        <v>5</v>
      </c>
      <c r="B5" s="7" t="n">
        <v>0.05</v>
      </c>
      <c r="C5" s="2"/>
      <c r="D5" s="2"/>
      <c r="E5" s="8" t="s">
        <v>6</v>
      </c>
      <c r="F5" s="2"/>
    </row>
    <row r="6" customFormat="false" ht="15" hidden="false" customHeight="false" outlineLevel="0" collapsed="false">
      <c r="A6" s="6" t="s">
        <v>7</v>
      </c>
      <c r="B6" s="9" t="n">
        <v>0.8</v>
      </c>
      <c r="C6" s="2"/>
      <c r="D6" s="2"/>
      <c r="E6" s="8" t="s">
        <v>8</v>
      </c>
      <c r="F6" s="2"/>
    </row>
    <row r="7" customFormat="false" ht="15" hidden="false" customHeight="false" outlineLevel="0" collapsed="false">
      <c r="A7" s="6" t="s">
        <v>9</v>
      </c>
      <c r="B7" s="10" t="n">
        <v>3</v>
      </c>
      <c r="C7" s="2"/>
      <c r="D7" s="2"/>
      <c r="E7" s="8" t="s">
        <v>10</v>
      </c>
      <c r="F7" s="2"/>
    </row>
    <row r="8" customFormat="false" ht="15" hidden="false" customHeight="false" outlineLevel="0" collapsed="false">
      <c r="A8" s="6" t="s">
        <v>11</v>
      </c>
      <c r="B8" s="11" t="n">
        <v>0.05</v>
      </c>
      <c r="C8" s="2"/>
      <c r="D8" s="2"/>
      <c r="E8" s="8" t="s">
        <v>12</v>
      </c>
      <c r="F8" s="2"/>
    </row>
    <row r="9" customFormat="false" ht="15" hidden="false" customHeight="false" outlineLevel="0" collapsed="false">
      <c r="A9" s="6" t="s">
        <v>13</v>
      </c>
      <c r="B9" s="12" t="n">
        <f aca="false">B5/B7</f>
        <v>0.0166666666666667</v>
      </c>
      <c r="C9" s="2"/>
      <c r="D9" s="2"/>
      <c r="E9" s="8" t="s">
        <v>14</v>
      </c>
      <c r="F9" s="2"/>
    </row>
    <row r="10" customFormat="false" ht="15" hidden="false" customHeight="false" outlineLevel="0" collapsed="false">
      <c r="A10" s="6" t="s">
        <v>15</v>
      </c>
      <c r="B10" s="13" t="n">
        <f aca="false">NORMSINV(1-B9/2)</f>
        <v>2.39397979981851</v>
      </c>
      <c r="C10" s="2"/>
      <c r="D10" s="2"/>
      <c r="E10" s="8" t="s">
        <v>16</v>
      </c>
      <c r="F10" s="2"/>
    </row>
    <row r="11" customFormat="false" ht="15" hidden="false" customHeight="false" outlineLevel="0" collapsed="false">
      <c r="A11" s="6" t="s">
        <v>17</v>
      </c>
      <c r="B11" s="13" t="n">
        <f aca="false">NORMSINV(B6)</f>
        <v>0.841621233572914</v>
      </c>
      <c r="C11" s="2"/>
      <c r="D11" s="2"/>
      <c r="E11" s="8" t="s">
        <v>18</v>
      </c>
      <c r="F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</row>
    <row r="13" customFormat="false" ht="15" hidden="false" customHeight="false" outlineLevel="0" collapsed="false">
      <c r="A13" s="4" t="s">
        <v>19</v>
      </c>
      <c r="B13" s="5" t="s">
        <v>20</v>
      </c>
      <c r="C13" s="5" t="s">
        <v>21</v>
      </c>
      <c r="D13" s="5" t="s">
        <v>22</v>
      </c>
      <c r="E13" s="5" t="s">
        <v>23</v>
      </c>
      <c r="F13" s="2"/>
    </row>
    <row r="14" customFormat="false" ht="15" hidden="false" customHeight="false" outlineLevel="0" collapsed="false">
      <c r="A14" s="6" t="s">
        <v>24</v>
      </c>
      <c r="B14" s="14" t="n">
        <v>1000</v>
      </c>
      <c r="C14" s="14" t="n">
        <v>750</v>
      </c>
      <c r="D14" s="14" t="n">
        <v>250</v>
      </c>
      <c r="E14" s="8" t="s">
        <v>25</v>
      </c>
      <c r="F14" s="2"/>
    </row>
    <row r="15" customFormat="false" ht="15" hidden="false" customHeight="false" outlineLevel="0" collapsed="false">
      <c r="A15" s="6" t="s">
        <v>26</v>
      </c>
      <c r="B15" s="14" t="n">
        <v>10000</v>
      </c>
      <c r="C15" s="14" t="n">
        <v>10000</v>
      </c>
      <c r="D15" s="14" t="n">
        <v>10000</v>
      </c>
      <c r="E15" s="8" t="s">
        <v>27</v>
      </c>
      <c r="F15" s="2"/>
    </row>
    <row r="16" customFormat="false" ht="27.75" hidden="false" customHeight="true" outlineLevel="0" collapsed="false">
      <c r="A16" s="6" t="s">
        <v>28</v>
      </c>
      <c r="B16" s="14" t="n">
        <v>5000</v>
      </c>
      <c r="C16" s="14" t="n">
        <v>5000</v>
      </c>
      <c r="D16" s="14" t="n">
        <v>5000</v>
      </c>
      <c r="E16" s="8" t="s">
        <v>29</v>
      </c>
      <c r="F16" s="2"/>
    </row>
    <row r="17" customFormat="false" ht="22.35" hidden="false" customHeight="false" outlineLevel="0" collapsed="false">
      <c r="A17" s="6" t="s">
        <v>30</v>
      </c>
      <c r="B17" s="14" t="n">
        <v>5000</v>
      </c>
      <c r="C17" s="14" t="n">
        <v>5000</v>
      </c>
      <c r="D17" s="14" t="n">
        <v>5000</v>
      </c>
      <c r="E17" s="8" t="s">
        <v>31</v>
      </c>
      <c r="F17" s="2"/>
    </row>
    <row r="18" customFormat="false" ht="15" hidden="false" customHeight="false" outlineLevel="0" collapsed="false">
      <c r="A18" s="6" t="s">
        <v>32</v>
      </c>
      <c r="B18" s="14" t="n">
        <v>500</v>
      </c>
      <c r="C18" s="14" t="n">
        <v>300</v>
      </c>
      <c r="D18" s="14" t="n">
        <v>100</v>
      </c>
      <c r="E18" s="8" t="s">
        <v>33</v>
      </c>
      <c r="F18" s="2"/>
    </row>
    <row r="19" customFormat="false" ht="15" hidden="false" customHeight="false" outlineLevel="0" collapsed="false">
      <c r="A19" s="6" t="s">
        <v>34</v>
      </c>
      <c r="B19" s="10" t="n">
        <v>1</v>
      </c>
      <c r="C19" s="10" t="n">
        <v>1</v>
      </c>
      <c r="D19" s="10" t="n">
        <v>1</v>
      </c>
      <c r="E19" s="8" t="s">
        <v>35</v>
      </c>
      <c r="F19" s="2"/>
    </row>
    <row r="20" customFormat="false" ht="15" hidden="false" customHeight="false" outlineLevel="0" collapsed="false">
      <c r="A20" s="6" t="s">
        <v>36</v>
      </c>
      <c r="B20" s="11" t="n">
        <v>0.3</v>
      </c>
      <c r="C20" s="11" t="n">
        <v>0.15</v>
      </c>
      <c r="D20" s="11" t="n">
        <v>-0.15</v>
      </c>
      <c r="E20" s="8" t="s">
        <v>37</v>
      </c>
      <c r="F20" s="2"/>
    </row>
    <row r="21" customFormat="false" ht="15" hidden="false" customHeight="false" outlineLevel="0" collapsed="false">
      <c r="A21" s="6" t="s">
        <v>38</v>
      </c>
      <c r="B21" s="11" t="n">
        <v>0.6</v>
      </c>
      <c r="C21" s="11" t="n">
        <v>0.6</v>
      </c>
      <c r="D21" s="11" t="n">
        <v>0.6</v>
      </c>
      <c r="E21" s="8" t="s">
        <v>39</v>
      </c>
      <c r="F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</row>
    <row r="23" customFormat="false" ht="15" hidden="false" customHeight="false" outlineLevel="0" collapsed="false">
      <c r="A23" s="4" t="s">
        <v>40</v>
      </c>
      <c r="B23" s="5" t="s">
        <v>20</v>
      </c>
      <c r="C23" s="5" t="s">
        <v>21</v>
      </c>
      <c r="D23" s="5" t="s">
        <v>22</v>
      </c>
      <c r="E23" s="5" t="s">
        <v>41</v>
      </c>
      <c r="F23" s="2"/>
    </row>
    <row r="24" customFormat="false" ht="15" hidden="false" customHeight="false" outlineLevel="0" collapsed="false">
      <c r="A24" s="6" t="s">
        <v>42</v>
      </c>
      <c r="B24" s="15" t="n">
        <f aca="false">B18/B15</f>
        <v>0.05</v>
      </c>
      <c r="C24" s="15" t="n">
        <f aca="false">C18/C15</f>
        <v>0.03</v>
      </c>
      <c r="D24" s="15" t="n">
        <f aca="false">D18/D15</f>
        <v>0.01</v>
      </c>
      <c r="E24" s="8" t="s">
        <v>43</v>
      </c>
      <c r="F24" s="2"/>
    </row>
    <row r="25" customFormat="false" ht="15" hidden="false" customHeight="false" outlineLevel="0" collapsed="false">
      <c r="A25" s="6" t="s">
        <v>44</v>
      </c>
      <c r="B25" s="15" t="n">
        <f aca="false">1-(1-B24)^B19</f>
        <v>0.05</v>
      </c>
      <c r="C25" s="15" t="n">
        <f aca="false">1-(1-C24)^C19</f>
        <v>0.03</v>
      </c>
      <c r="D25" s="15" t="n">
        <f aca="false">1-(1-D24)^D19</f>
        <v>0.01</v>
      </c>
      <c r="E25" s="8" t="s">
        <v>45</v>
      </c>
      <c r="F25" s="2"/>
    </row>
    <row r="26" customFormat="false" ht="15" hidden="false" customHeight="false" outlineLevel="0" collapsed="false">
      <c r="A26" s="6" t="s">
        <v>46</v>
      </c>
      <c r="B26" s="16" t="n">
        <f aca="false">B20*B21</f>
        <v>0.18</v>
      </c>
      <c r="C26" s="16" t="n">
        <f aca="false">C20*C21</f>
        <v>0.09</v>
      </c>
      <c r="D26" s="16" t="n">
        <f aca="false">D20*D21</f>
        <v>-0.09</v>
      </c>
      <c r="E26" s="8" t="s">
        <v>47</v>
      </c>
      <c r="F26" s="2"/>
    </row>
    <row r="27" customFormat="false" ht="15" hidden="false" customHeight="false" outlineLevel="0" collapsed="false">
      <c r="A27" s="6" t="s">
        <v>48</v>
      </c>
      <c r="B27" s="15" t="n">
        <f aca="false">B25*(1+B26)</f>
        <v>0.0590000000000001</v>
      </c>
      <c r="C27" s="15" t="n">
        <f aca="false">C25*(1+C26)</f>
        <v>0.0327</v>
      </c>
      <c r="D27" s="15" t="n">
        <f aca="false">D25*(1+D26)</f>
        <v>0.00910000000000001</v>
      </c>
      <c r="E27" s="8" t="s">
        <v>49</v>
      </c>
      <c r="F27" s="2"/>
    </row>
    <row r="28" customFormat="false" ht="15" hidden="false" customHeight="false" outlineLevel="0" collapsed="false">
      <c r="A28" s="6" t="s">
        <v>50</v>
      </c>
      <c r="B28" s="17" t="n">
        <f aca="false">B44</f>
        <v>4750</v>
      </c>
      <c r="C28" s="17" t="n">
        <f aca="false">C44</f>
        <v>4750</v>
      </c>
      <c r="D28" s="17" t="n">
        <f aca="false">D44</f>
        <v>4750</v>
      </c>
      <c r="E28" s="8" t="s">
        <v>51</v>
      </c>
      <c r="F28" s="2"/>
    </row>
    <row r="29" customFormat="false" ht="15" hidden="false" customHeight="false" outlineLevel="0" collapsed="false">
      <c r="A29" s="6" t="s">
        <v>52</v>
      </c>
      <c r="B29" s="17" t="n">
        <f aca="false">B45</f>
        <v>4750</v>
      </c>
      <c r="C29" s="17" t="n">
        <f aca="false">C45</f>
        <v>4750</v>
      </c>
      <c r="D29" s="17" t="n">
        <f aca="false">D45</f>
        <v>4750</v>
      </c>
      <c r="E29" s="8" t="s">
        <v>53</v>
      </c>
      <c r="F29" s="2"/>
    </row>
    <row r="30" customFormat="false" ht="15" hidden="false" customHeight="false" outlineLevel="0" collapsed="false">
      <c r="A30" s="6" t="s">
        <v>54</v>
      </c>
      <c r="B30" s="18" t="str">
        <f aca="false">IF(B16+B17&lt;=B15,"Sí: "&amp;TEXT(B16+B17,"#,##0")&amp;" de "&amp;TEXT(B15,"#,##0"),"NO: usas "&amp;TEXT(B16+B17,"#,##0")&amp;" y solo hay "&amp;TEXT(B15,"#,##0"))</f>
        <v>Sí: 10,000 de 10,000</v>
      </c>
      <c r="C30" s="18" t="str">
        <f aca="false">IF(C16+C17&lt;=C15,"Sí: "&amp;TEXT(C16+C17,"#,##0")&amp;" de "&amp;TEXT(C15,"#,##0"),"NO: usas "&amp;TEXT(C16+C17,"#,##0")&amp;" y solo hay "&amp;TEXT(C15,"#,##0"))</f>
        <v>Sí: 10,000 de 10,000</v>
      </c>
      <c r="D30" s="18" t="str">
        <f aca="false">IF(D16+D17&lt;=D15,"Sí: "&amp;TEXT(D16+D17,"#,##0")&amp;" de "&amp;TEXT(D15,"#,##0"),"NO: usas "&amp;TEXT(D16+D17,"#,##0")&amp;" y solo hay "&amp;TEXT(D15,"#,##0"))</f>
        <v>Sí: 10,000 de 10,000</v>
      </c>
      <c r="E30" s="8" t="s">
        <v>55</v>
      </c>
      <c r="F30" s="2"/>
    </row>
    <row r="31" customFormat="false" ht="15" hidden="false" customHeight="false" outlineLevel="0" collapsed="false">
      <c r="A31" s="6" t="s">
        <v>56</v>
      </c>
      <c r="B31" s="19" t="n">
        <f aca="false">NORMSDIST((ABS(B27-B25)-$B$10*SQRT(B46*(1-B46)*(1/B45+1/B44)))/SQRT(B25*(1-B25)/B45+B27*(1-B27)/B44))</f>
        <v>0.322076256263711</v>
      </c>
      <c r="C31" s="19" t="n">
        <f aca="false">NORMSDIST((ABS(C27-C25)-$B$10*SQRT(C46*(1-C46)*(1/C45+1/C44)))/SQRT(C25*(1-C25)/C45+C27*(1-C27)/C44))</f>
        <v>0.0506120133084721</v>
      </c>
      <c r="D31" s="19" t="n">
        <f aca="false">NORMSDIST((ABS(D27-D25)-$B$10*SQRT(D46*(1-D46)*(1/D45+1/D44)))/SQRT(D25*(1-D25)/D45+D27*(1-D27)/D44))</f>
        <v>0.0260067764439741</v>
      </c>
      <c r="E31" s="8" t="s">
        <v>57</v>
      </c>
      <c r="F31" s="2"/>
    </row>
    <row r="32" customFormat="false" ht="15" hidden="false" customHeight="false" outlineLevel="0" collapsed="false">
      <c r="A32" s="6" t="s">
        <v>58</v>
      </c>
      <c r="B32" s="16" t="n">
        <f aca="false">B51/B25</f>
        <v>0.309686211710248</v>
      </c>
      <c r="C32" s="16" t="n">
        <f aca="false">C51/C25</f>
        <v>0.413318181612153</v>
      </c>
      <c r="D32" s="16" t="n">
        <f aca="false">D51/D25</f>
        <v>0.776701739625666</v>
      </c>
      <c r="E32" s="8" t="s">
        <v>59</v>
      </c>
      <c r="F32" s="2"/>
    </row>
    <row r="33" customFormat="false" ht="15" hidden="false" customHeight="false" outlineLevel="0" collapsed="false">
      <c r="A33" s="6" t="s">
        <v>60</v>
      </c>
      <c r="B33" s="16" t="n">
        <f aca="false">B32/B21</f>
        <v>0.516143686183747</v>
      </c>
      <c r="C33" s="16" t="n">
        <f aca="false">C32/C21</f>
        <v>0.688863636020255</v>
      </c>
      <c r="D33" s="16" t="n">
        <f aca="false">D32/D21</f>
        <v>1.29450289937611</v>
      </c>
      <c r="E33" s="8" t="s">
        <v>61</v>
      </c>
      <c r="F33" s="2"/>
    </row>
    <row r="34" customFormat="false" ht="19.5" hidden="false" customHeight="true" outlineLevel="0" collapsed="false">
      <c r="A34" s="6" t="s">
        <v>62</v>
      </c>
      <c r="B34" s="20" t="str">
        <f aca="false">IF(B31&gt;=$B$6,"SÍ","NO")</f>
        <v>NO</v>
      </c>
      <c r="C34" s="20" t="str">
        <f aca="false">IF(C31&gt;=$B$6,"SÍ","NO")</f>
        <v>NO</v>
      </c>
      <c r="D34" s="20" t="str">
        <f aca="false">IF(D31&gt;=$B$6,"SÍ","NO")</f>
        <v>NO</v>
      </c>
      <c r="E34" s="8" t="s">
        <v>63</v>
      </c>
      <c r="F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</row>
    <row r="36" customFormat="false" ht="15" hidden="false" customHeight="false" outlineLevel="0" collapsed="false">
      <c r="A36" s="21" t="s">
        <v>64</v>
      </c>
      <c r="B36" s="22" t="s">
        <v>20</v>
      </c>
      <c r="C36" s="22" t="s">
        <v>21</v>
      </c>
      <c r="D36" s="22" t="s">
        <v>22</v>
      </c>
      <c r="E36" s="22" t="s">
        <v>41</v>
      </c>
      <c r="F36" s="2"/>
    </row>
    <row r="37" customFormat="false" ht="22.35" hidden="false" customHeight="false" outlineLevel="0" collapsed="false">
      <c r="A37" s="6" t="s">
        <v>65</v>
      </c>
      <c r="B37" s="23" t="n">
        <f aca="false">IF(B26=0,"n/a",ROUNDUP((((($B$10*SQRT(((B25+B43*B27)/(1+B43))*(1-((B25+B43*B27)/(1+B43)))*(1+1/B43))+$B$11*SQRT(B25*(1-B25)+B27*(1-B27)/B43))^2)/(B27-B25)^2)*(1+B43))/(1-$B$8),0))</f>
        <v>28040</v>
      </c>
      <c r="C37" s="23" t="n">
        <f aca="false">IF(C26=0,"n/a",ROUNDUP((((($B$10*SQRT(((C25+C43*C27)/(1+C43))*(1-((C25+C43*C27)/(1+C43)))*(1+1/C43))+$B$11*SQRT(C25*(1-C25)+C27*(1-C27)/C43))^2)/(C27-C25)^2)*(1+C43))/(1-$B$8),0))</f>
        <v>183619</v>
      </c>
      <c r="D37" s="23" t="n">
        <f aca="false">IF(D26=0,"n/a",ROUNDUP((((($B$10*SQRT(((D25+D43*D27)/(1+D43))*(1-((D25+D43*D27)/(1+D43)))*(1+1/D43))+$B$11*SQRT(D25*(1-D25)+D27*(1-D27)/D43))^2)/(D27-D25)^2)*(1+D43))/(1-$B$8),0))</f>
        <v>514749</v>
      </c>
      <c r="E37" s="8" t="s">
        <v>66</v>
      </c>
      <c r="F37" s="2"/>
    </row>
    <row r="38" customFormat="false" ht="42" hidden="false" customHeight="true" outlineLevel="0" collapsed="false">
      <c r="A38" s="6" t="s">
        <v>67</v>
      </c>
      <c r="B38" s="18" t="str">
        <f aca="false">IF(ISNUMBER(B37),IF(B37&lt;=B15,"Sí cabe en tu tope","No cabe: faltan "&amp;TEXT(B37-B15,"#,##0")),"n/a")</f>
        <v>No cabe: faltan 18,040</v>
      </c>
      <c r="C38" s="18" t="str">
        <f aca="false">IF(ISNUMBER(C37),IF(C37&lt;=C15,"Sí cabe en tu tope","No cabe: faltan "&amp;TEXT(C37-C15,"#,##0")),"n/a")</f>
        <v>No cabe: faltan 173,619</v>
      </c>
      <c r="D38" s="18" t="str">
        <f aca="false">IF(ISNUMBER(D37),IF(D37&lt;=D15,"Sí cabe en tu tope","No cabe: faltan "&amp;TEXT(D37-D15,"#,##0")),"n/a")</f>
        <v>No cabe: faltan 504,749</v>
      </c>
      <c r="E38" s="8" t="s">
        <v>68</v>
      </c>
      <c r="F38" s="2"/>
    </row>
    <row r="39" customFormat="false" ht="30" hidden="false" customHeight="true" outlineLevel="0" collapsed="false">
      <c r="A39" s="6" t="s">
        <v>69</v>
      </c>
      <c r="B39" s="24" t="n">
        <f aca="false">IF(COUNTIF(B55:B66,"&gt;="&amp;$B$6)=0,"&gt;12",COUNTIF(B55:B66,"&lt;"&amp;$B$6)+1)</f>
        <v>3</v>
      </c>
      <c r="C39" s="24" t="str">
        <f aca="false">IF(COUNTIF(C55:C66,"&gt;="&amp;$B$6)=0,"&gt;12",COUNTIF(C55:C66,"&lt;"&amp;$B$6)+1)</f>
        <v>&gt;12</v>
      </c>
      <c r="D39" s="24" t="str">
        <f aca="false">IF(COUNTIF(D55:D66,"&gt;="&amp;$B$6)=0,"&gt;12",COUNTIF(D55:D66,"&lt;"&amp;$B$6)+1)</f>
        <v>&gt;12</v>
      </c>
      <c r="E39" s="8" t="s">
        <v>70</v>
      </c>
      <c r="F39" s="2"/>
    </row>
    <row r="40" customFormat="false" ht="55.5" hidden="false" customHeight="true" outlineLevel="0" collapsed="false">
      <c r="A40" s="6" t="s">
        <v>71</v>
      </c>
      <c r="B40" s="20" t="str">
        <f aca="false">IF(B34="SÍ","Corre el experimento con tus usuarios.",IF(ISNUMBER(B39),"Alarga la ventana a "&amp;B39&amp;" meses.","No alcanza ni a 12 meses: prueba menos tiers o espera un lift mayor."))</f>
        <v>Alarga la ventana a 3 meses.</v>
      </c>
      <c r="C40" s="20" t="str">
        <f aca="false">IF(C34="SÍ","Corre el experimento con tus usuarios.",IF(ISNUMBER(C39),"Alarga la ventana a "&amp;C39&amp;" meses.","No alcanza ni a 12 meses: prueba menos tiers o espera un lift mayor."))</f>
        <v>No alcanza ni a 12 meses: prueba menos tiers o espera un lift mayor.</v>
      </c>
      <c r="D40" s="20" t="str">
        <f aca="false">IF(D34="SÍ","Corre el experimento con tus usuarios.",IF(ISNUMBER(D39),"Alarga la ventana a "&amp;D39&amp;" meses.","No alcanza ni a 12 meses: prueba menos tiers o espera un lift mayor."))</f>
        <v>No alcanza ni a 12 meses: prueba menos tiers o espera un lift mayor.</v>
      </c>
      <c r="E40" s="8" t="s">
        <v>72</v>
      </c>
      <c r="F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</row>
    <row r="42" customFormat="false" ht="23.85" hidden="false" customHeight="false" outlineLevel="0" collapsed="false">
      <c r="A42" s="4" t="s">
        <v>73</v>
      </c>
      <c r="B42" s="5" t="s">
        <v>20</v>
      </c>
      <c r="C42" s="5" t="s">
        <v>21</v>
      </c>
      <c r="D42" s="5" t="s">
        <v>22</v>
      </c>
      <c r="E42" s="5" t="s">
        <v>74</v>
      </c>
      <c r="F42" s="2"/>
    </row>
    <row r="43" customFormat="false" ht="15" hidden="false" customHeight="false" outlineLevel="0" collapsed="false">
      <c r="A43" s="6" t="s">
        <v>75</v>
      </c>
      <c r="B43" s="25" t="n">
        <f aca="false">B16/B17</f>
        <v>1</v>
      </c>
      <c r="C43" s="25" t="n">
        <f aca="false">C16/C17</f>
        <v>1</v>
      </c>
      <c r="D43" s="25" t="n">
        <f aca="false">D16/D17</f>
        <v>1</v>
      </c>
      <c r="E43" s="8" t="s">
        <v>76</v>
      </c>
      <c r="F43" s="2"/>
    </row>
    <row r="44" customFormat="false" ht="15" hidden="false" customHeight="false" outlineLevel="0" collapsed="false">
      <c r="A44" s="6" t="s">
        <v>77</v>
      </c>
      <c r="B44" s="17" t="n">
        <f aca="false">B16*(1-$B$8)</f>
        <v>4750</v>
      </c>
      <c r="C44" s="17" t="n">
        <f aca="false">C16*(1-$B$8)</f>
        <v>4750</v>
      </c>
      <c r="D44" s="17" t="n">
        <f aca="false">D16*(1-$B$8)</f>
        <v>4750</v>
      </c>
      <c r="E44" s="8" t="s">
        <v>78</v>
      </c>
      <c r="F44" s="2"/>
    </row>
    <row r="45" customFormat="false" ht="15" hidden="false" customHeight="false" outlineLevel="0" collapsed="false">
      <c r="A45" s="6" t="s">
        <v>79</v>
      </c>
      <c r="B45" s="17" t="n">
        <f aca="false">B17*(1-$B$8)</f>
        <v>4750</v>
      </c>
      <c r="C45" s="17" t="n">
        <f aca="false">C17*(1-$B$8)</f>
        <v>4750</v>
      </c>
      <c r="D45" s="17" t="n">
        <f aca="false">D17*(1-$B$8)</f>
        <v>4750</v>
      </c>
      <c r="E45" s="8" t="s">
        <v>80</v>
      </c>
      <c r="F45" s="2"/>
    </row>
    <row r="46" customFormat="false" ht="15" hidden="false" customHeight="false" outlineLevel="0" collapsed="false">
      <c r="A46" s="6" t="s">
        <v>81</v>
      </c>
      <c r="B46" s="12" t="n">
        <f aca="false">(B45*B25+B44*B27)/(B45+B44)</f>
        <v>0.0545000000000001</v>
      </c>
      <c r="C46" s="12" t="n">
        <f aca="false">(C45*C25+C44*C27)/(C45+C44)</f>
        <v>0.03135</v>
      </c>
      <c r="D46" s="12" t="n">
        <f aca="false">(D45*D25+D44*D27)/(D45+D44)</f>
        <v>0.00955000000000001</v>
      </c>
      <c r="E46" s="8" t="s">
        <v>82</v>
      </c>
      <c r="F46" s="2"/>
    </row>
    <row r="47" customFormat="false" ht="15" hidden="false" customHeight="false" outlineLevel="0" collapsed="false">
      <c r="A47" s="6" t="s">
        <v>83</v>
      </c>
      <c r="B47" s="12" t="n">
        <f aca="false">($B$10+$B$11)*SQRT(B25*(1-B25)*(1/B45+1/B44))</f>
        <v>0.0144700477174636</v>
      </c>
      <c r="C47" s="12" t="n">
        <f aca="false">($B$10+$B$11)*SQRT(C25*(1-C25)*(1/C45+1/C44))</f>
        <v>0.0113258199429158</v>
      </c>
      <c r="D47" s="12" t="n">
        <f aca="false">($B$10+$B$11)*SQRT(D25*(1-D25)*(1/D45+1/D44))</f>
        <v>0.00660603325734122</v>
      </c>
      <c r="E47" s="8" t="s">
        <v>84</v>
      </c>
      <c r="F47" s="2"/>
    </row>
    <row r="48" customFormat="false" ht="15" hidden="false" customHeight="false" outlineLevel="0" collapsed="false">
      <c r="A48" s="6" t="s">
        <v>85</v>
      </c>
      <c r="B48" s="12" t="n">
        <f aca="false">$B$10*SQRT(((B45*B25+B44*(B25+B47))/(B45+B44))*(1-((B45*B25+B44*(B25+B47))/(B45+B44)))*(1/B45+1/B44))+$B$11*SQRT(B25*(1-B25)/B45+(B25+B47)*(1-B25-B47)/B44)</f>
        <v>0.0154205904175831</v>
      </c>
      <c r="C48" s="12" t="n">
        <f aca="false">$B$10*SQRT(((C45*C25+C44*(C25+C47))/(C45+C44))*(1-((C45*C25+C44*(C25+C47))/(C45+C44)))*(1/C45+1/C44))+$B$11*SQRT(C25*(1-C25)/C45+(C25+C47)*(1-C25-C47)/C44)</f>
        <v>0.0123109990740818</v>
      </c>
      <c r="D48" s="12" t="n">
        <f aca="false">$B$10*SQRT(((D45*D25+D44*(D25+D47))/(D45+D44))*(1-((D45*D25+D44*(D25+D47))/(D45+D44)))*(1/D45+1/D44))+$B$11*SQRT(D25*(1-D25)/D45+(D25+D47)*(1-D25-D47)/D44)</f>
        <v>0.00760576962692852</v>
      </c>
      <c r="E48" s="2"/>
      <c r="F48" s="2"/>
    </row>
    <row r="49" customFormat="false" ht="15" hidden="false" customHeight="false" outlineLevel="0" collapsed="false">
      <c r="A49" s="6" t="s">
        <v>86</v>
      </c>
      <c r="B49" s="12" t="n">
        <f aca="false">$B$10*SQRT(((B45*B25+B44*(B25+B48))/(B45+B44))*(1-((B45*B25+B44*(B25+B48))/(B45+B44)))*(1/B45+1/B44))+$B$11*SQRT(B25*(1-B25)/B45+(B25+B48)*(1-B25-B48)/B44)</f>
        <v>0.0154803316438639</v>
      </c>
      <c r="C49" s="12" t="n">
        <f aca="false">$B$10*SQRT(((C45*C25+C44*(C25+C48))/(C45+C44))*(1-((C45*C25+C44*(C25+C48))/(C45+C44)))*(1/C45+1/C44))+$B$11*SQRT(C25*(1-C25)/C45+(C25+C48)*(1-C25-C48)/C44)</f>
        <v>0.012392313574853</v>
      </c>
      <c r="D49" s="12" t="n">
        <f aca="false">$B$10*SQRT(((D45*D25+D44*(D25+D48))/(D45+D44))*(1-((D45*D25+D44*(D25+D48))/(D45+D44)))*(1/D45+1/D44))+$B$11*SQRT(D25*(1-D25)/D45+(D25+D48)*(1-D25-D48)/D44)</f>
        <v>0.00774515165979732</v>
      </c>
      <c r="E49" s="2"/>
      <c r="F49" s="2"/>
    </row>
    <row r="50" customFormat="false" ht="15" hidden="false" customHeight="false" outlineLevel="0" collapsed="false">
      <c r="A50" s="6" t="s">
        <v>87</v>
      </c>
      <c r="B50" s="12" t="n">
        <f aca="false">$B$10*SQRT(((B45*B25+B44*(B25+B49))/(B45+B44))*(1-((B45*B25+B44*(B25+B49))/(B45+B44)))*(1/B45+1/B44))+$B$11*SQRT(B25*(1-B25)/B45+(B25+B49)*(1-B25-B49)/B44)</f>
        <v>0.015484075950343</v>
      </c>
      <c r="C50" s="12" t="n">
        <f aca="false">$B$10*SQRT(((C45*C25+C44*(C25+C49))/(C45+C44))*(1-((C45*C25+C44*(C25+C49))/(C45+C44)))*(1/C45+1/C44))+$B$11*SQRT(C25*(1-C25)/C45+(C25+C49)*(1-C25-C49)/C44)</f>
        <v>0.0123989964120841</v>
      </c>
      <c r="D50" s="12" t="n">
        <f aca="false">$B$10*SQRT(((D45*D25+D44*(D25+D49))/(D45+D44))*(1-((D45*D25+D44*(D25+D49))/(D45+D44)))*(1/D45+1/D44))+$B$11*SQRT(D25*(1-D25)/D45+(D25+D49)*(1-D25-D49)/D44)</f>
        <v>0.00776437119734043</v>
      </c>
      <c r="E50" s="2"/>
      <c r="F50" s="2"/>
    </row>
    <row r="51" customFormat="false" ht="15" hidden="false" customHeight="false" outlineLevel="0" collapsed="false">
      <c r="A51" s="6" t="s">
        <v>88</v>
      </c>
      <c r="B51" s="12" t="n">
        <f aca="false">$B$10*SQRT(((B45*B25+B44*(B25+B50))/(B45+B44))*(1-((B45*B25+B44*(B25+B50))/(B45+B44)))*(1/B45+1/B44))+$B$11*SQRT(B25*(1-B25)/B45+(B25+B50)*(1-B25-B50)/B44)</f>
        <v>0.0154843105855124</v>
      </c>
      <c r="C51" s="12" t="n">
        <f aca="false">$B$10*SQRT(((C45*C25+C44*(C25+C50))/(C45+C44))*(1-((C45*C25+C44*(C25+C50))/(C45+C44)))*(1/C45+1/C44))+$B$11*SQRT(C25*(1-C25)/C45+(C25+C50)*(1-C25-C50)/C44)</f>
        <v>0.0123995454483646</v>
      </c>
      <c r="D51" s="12" t="n">
        <f aca="false">$B$10*SQRT(((D45*D25+D44*(D25+D50))/(D45+D44))*(1-((D45*D25+D44*(D25+D50))/(D45+D44)))*(1/D45+1/D44))+$B$11*SQRT(D25*(1-D25)/D45+(D25+D50)*(1-D25-D50)/D44)</f>
        <v>0.00776701739625667</v>
      </c>
      <c r="E51" s="8" t="s">
        <v>89</v>
      </c>
      <c r="F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</row>
    <row r="53" customFormat="false" ht="15" hidden="false" customHeight="false" outlineLevel="0" collapsed="false">
      <c r="A53" s="21" t="s">
        <v>90</v>
      </c>
      <c r="B53" s="22" t="s">
        <v>20</v>
      </c>
      <c r="C53" s="22" t="s">
        <v>21</v>
      </c>
      <c r="D53" s="22" t="s">
        <v>22</v>
      </c>
      <c r="E53" s="22" t="s">
        <v>91</v>
      </c>
      <c r="F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</row>
    <row r="55" customFormat="false" ht="15" hidden="false" customHeight="false" outlineLevel="0" collapsed="false">
      <c r="A55" s="26" t="n">
        <v>1</v>
      </c>
      <c r="B55" s="16" t="n">
        <f aca="false">IFERROR(NORMSDIST((ABS(MIN((1-(1-B$24)^$A55)*(1+B$26),0.999)-(1-(1-B$24)^$A55))-$B$10*SQRT(((B$45*(1-(1-B$24)^$A55)+B$44*MIN((1-(1-B$24)^$A55)*(1+B$26),0.999))/(B$45+B$44))*(1-((B$45*(1-(1-B$24)^$A55)+B$44*MIN((1-(1-B$24)^$A55)*(1+B$26),0.999))/(B$45+B$44)))*(1/B$45+1/B$44)))/SQRT((1-(1-B$24)^$A55)*(1-(1-(1-B$24)^$A55))/B$45+MIN((1-(1-B$24)^$A55)*(1+B$26),0.999)*(1-MIN((1-(1-B$24)^$A55)*(1+B$26),0.999))/B$44)),0)</f>
        <v>0.322076256263711</v>
      </c>
      <c r="C55" s="16" t="n">
        <f aca="false">IFERROR(NORMSDIST((ABS(MIN((1-(1-C$24)^$A55)*(1+C$26),0.999)-(1-(1-C$24)^$A55))-$B$10*SQRT(((C$45*(1-(1-C$24)^$A55)+C$44*MIN((1-(1-C$24)^$A55)*(1+C$26),0.999))/(C$45+C$44))*(1-((C$45*(1-(1-C$24)^$A55)+C$44*MIN((1-(1-C$24)^$A55)*(1+C$26),0.999))/(C$45+C$44)))*(1/C$45+1/C$44)))/SQRT((1-(1-C$24)^$A55)*(1-(1-(1-C$24)^$A55))/C$45+MIN((1-(1-C$24)^$A55)*(1+C$26),0.999)*(1-MIN((1-(1-C$24)^$A55)*(1+C$26),0.999))/C$44)),0)</f>
        <v>0.0506120133084721</v>
      </c>
      <c r="D55" s="16" t="n">
        <f aca="false">IFERROR(NORMSDIST((ABS(MIN((1-(1-D$24)^$A55)*(1+D$26),0.999)-(1-(1-D$24)^$A55))-$B$10*SQRT(((D$45*(1-(1-D$24)^$A55)+D$44*MIN((1-(1-D$24)^$A55)*(1+D$26),0.999))/(D$45+D$44))*(1-((D$45*(1-(1-D$24)^$A55)+D$44*MIN((1-(1-D$24)^$A55)*(1+D$26),0.999))/(D$45+D$44)))*(1/D$45+1/D$44)))/SQRT((1-(1-D$24)^$A55)*(1-(1-(1-D$24)^$A55))/D$45+MIN((1-(1-D$24)^$A55)*(1+D$26),0.999)*(1-MIN((1-(1-D$24)^$A55)*(1+D$26),0.999))/D$44)),0)</f>
        <v>0.0260067764439741</v>
      </c>
      <c r="E55" s="2"/>
      <c r="F55" s="2"/>
    </row>
    <row r="56" customFormat="false" ht="15" hidden="false" customHeight="false" outlineLevel="0" collapsed="false">
      <c r="A56" s="26" t="n">
        <v>2</v>
      </c>
      <c r="B56" s="16" t="n">
        <f aca="false">IFERROR(NORMSDIST((ABS(MIN((1-(1-B$24)^$A56)*(1+B$26),0.999)-(1-(1-B$24)^$A56))-$B$10*SQRT(((B$45*(1-(1-B$24)^$A56)+B$44*MIN((1-(1-B$24)^$A56)*(1+B$26),0.999))/(B$45+B$44))*(1-((B$45*(1-(1-B$24)^$A56)+B$44*MIN((1-(1-B$24)^$A56)*(1+B$26),0.999))/(B$45+B$44)))*(1/B$45+1/B$44)))/SQRT((1-(1-B$24)^$A56)*(1-(1-(1-B$24)^$A56))/B$45+MIN((1-(1-B$24)^$A56)*(1+B$26),0.999)*(1-MIN((1-(1-B$24)^$A56)*(1+B$26),0.999))/B$44)),0)</f>
        <v>0.648530625309196</v>
      </c>
      <c r="C56" s="16" t="n">
        <f aca="false">IFERROR(NORMSDIST((ABS(MIN((1-(1-C$24)^$A56)*(1+C$26),0.999)-(1-(1-C$24)^$A56))-$B$10*SQRT(((C$45*(1-(1-C$24)^$A56)+C$44*MIN((1-(1-C$24)^$A56)*(1+C$26),0.999))/(C$45+C$44))*(1-((C$45*(1-(1-C$24)^$A56)+C$44*MIN((1-(1-C$24)^$A56)*(1+C$26),0.999))/(C$45+C$44)))*(1/C$45+1/C$44)))/SQRT((1-(1-C$24)^$A56)*(1-(1-(1-C$24)^$A56))/C$45+MIN((1-(1-C$24)^$A56)*(1+C$26),0.999)*(1-MIN((1-(1-C$24)^$A56)*(1+C$26),0.999))/C$44)),0)</f>
        <v>0.0938830966435802</v>
      </c>
      <c r="D56" s="16" t="n">
        <f aca="false">IFERROR(NORMSDIST((ABS(MIN((1-(1-D$24)^$A56)*(1+D$26),0.999)-(1-(1-D$24)^$A56))-$B$10*SQRT(((D$45*(1-(1-D$24)^$A56)+D$44*MIN((1-(1-D$24)^$A56)*(1+D$26),0.999))/(D$45+D$44))*(1-((D$45*(1-(1-D$24)^$A56)+D$44*MIN((1-(1-D$24)^$A56)*(1+D$26),0.999))/(D$45+D$44)))*(1/D$45+1/D$44)))/SQRT((1-(1-D$24)^$A56)*(1-(1-(1-D$24)^$A56))/D$45+MIN((1-(1-D$24)^$A56)*(1+D$26),0.999)*(1-MIN((1-(1-D$24)^$A56)*(1+D$26),0.999))/D$44)),0)</f>
        <v>0.039648899805351</v>
      </c>
      <c r="E56" s="2"/>
      <c r="F56" s="2"/>
    </row>
    <row r="57" customFormat="false" ht="15" hidden="false" customHeight="false" outlineLevel="0" collapsed="false">
      <c r="A57" s="26" t="n">
        <v>3</v>
      </c>
      <c r="B57" s="16" t="n">
        <f aca="false">IFERROR(NORMSDIST((ABS(MIN((1-(1-B$24)^$A57)*(1+B$26),0.999)-(1-(1-B$24)^$A57))-$B$10*SQRT(((B$45*(1-(1-B$24)^$A57)+B$44*MIN((1-(1-B$24)^$A57)*(1+B$26),0.999))/(B$45+B$44))*(1-((B$45*(1-(1-B$24)^$A57)+B$44*MIN((1-(1-B$24)^$A57)*(1+B$26),0.999))/(B$45+B$44)))*(1/B$45+1/B$44)))/SQRT((1-(1-B$24)^$A57)*(1-(1-(1-B$24)^$A57))/B$45+MIN((1-(1-B$24)^$A57)*(1+B$26),0.999)*(1-MIN((1-(1-B$24)^$A57)*(1+B$26),0.999))/B$44)),0)</f>
        <v>0.855324473869813</v>
      </c>
      <c r="C57" s="16" t="n">
        <f aca="false">IFERROR(NORMSDIST((ABS(MIN((1-(1-C$24)^$A57)*(1+C$26),0.999)-(1-(1-C$24)^$A57))-$B$10*SQRT(((C$45*(1-(1-C$24)^$A57)+C$44*MIN((1-(1-C$24)^$A57)*(1+C$26),0.999))/(C$45+C$44))*(1-((C$45*(1-(1-C$24)^$A57)+C$44*MIN((1-(1-C$24)^$A57)*(1+C$26),0.999))/(C$45+C$44)))*(1/C$45+1/C$44)))/SQRT((1-(1-C$24)^$A57)*(1-(1-(1-C$24)^$A57))/C$45+MIN((1-(1-C$24)^$A57)*(1+C$26),0.999)*(1-MIN((1-(1-C$24)^$A57)*(1+C$26),0.999))/C$44)),0)</f>
        <v>0.143659104798111</v>
      </c>
      <c r="D57" s="16" t="n">
        <f aca="false">IFERROR(NORMSDIST((ABS(MIN((1-(1-D$24)^$A57)*(1+D$26),0.999)-(1-(1-D$24)^$A57))-$B$10*SQRT(((D$45*(1-(1-D$24)^$A57)+D$44*MIN((1-(1-D$24)^$A57)*(1+D$26),0.999))/(D$45+D$44))*(1-((D$45*(1-(1-D$24)^$A57)+D$44*MIN((1-(1-D$24)^$A57)*(1+D$26),0.999))/(D$45+D$44)))*(1/D$45+1/D$44)))/SQRT((1-(1-D$24)^$A57)*(1-(1-(1-D$24)^$A57))/D$45+MIN((1-(1-D$24)^$A57)*(1+D$26),0.999)*(1-MIN((1-(1-D$24)^$A57)*(1+D$26),0.999))/D$44)),0)</f>
        <v>0.0537724436545908</v>
      </c>
      <c r="E57" s="2"/>
      <c r="F57" s="2"/>
    </row>
    <row r="58" customFormat="false" ht="15" hidden="false" customHeight="false" outlineLevel="0" collapsed="false">
      <c r="A58" s="26" t="n">
        <v>4</v>
      </c>
      <c r="B58" s="16" t="n">
        <f aca="false">IFERROR(NORMSDIST((ABS(MIN((1-(1-B$24)^$A58)*(1+B$26),0.999)-(1-(1-B$24)^$A58))-$B$10*SQRT(((B$45*(1-(1-B$24)^$A58)+B$44*MIN((1-(1-B$24)^$A58)*(1+B$26),0.999))/(B$45+B$44))*(1-((B$45*(1-(1-B$24)^$A58)+B$44*MIN((1-(1-B$24)^$A58)*(1+B$26),0.999))/(B$45+B$44)))*(1/B$45+1/B$44)))/SQRT((1-(1-B$24)^$A58)*(1-(1-(1-B$24)^$A58))/B$45+MIN((1-(1-B$24)^$A58)*(1+B$26),0.999)*(1-MIN((1-(1-B$24)^$A58)*(1+B$26),0.999))/B$44)),0)</f>
        <v>0.951427708514472</v>
      </c>
      <c r="C58" s="16" t="n">
        <f aca="false">IFERROR(NORMSDIST((ABS(MIN((1-(1-C$24)^$A58)*(1+C$26),0.999)-(1-(1-C$24)^$A58))-$B$10*SQRT(((C$45*(1-(1-C$24)^$A58)+C$44*MIN((1-(1-C$24)^$A58)*(1+C$26),0.999))/(C$45+C$44))*(1-((C$45*(1-(1-C$24)^$A58)+C$44*MIN((1-(1-C$24)^$A58)*(1+C$26),0.999))/(C$45+C$44)))*(1/C$45+1/C$44)))/SQRT((1-(1-C$24)^$A58)*(1-(1-(1-C$24)^$A58))/C$45+MIN((1-(1-C$24)^$A58)*(1+C$26),0.999)*(1-MIN((1-(1-C$24)^$A58)*(1+C$26),0.999))/C$44)),0)</f>
        <v>0.199017743143467</v>
      </c>
      <c r="D58" s="16" t="n">
        <f aca="false">IFERROR(NORMSDIST((ABS(MIN((1-(1-D$24)^$A58)*(1+D$26),0.999)-(1-(1-D$24)^$A58))-$B$10*SQRT(((D$45*(1-(1-D$24)^$A58)+D$44*MIN((1-(1-D$24)^$A58)*(1+D$26),0.999))/(D$45+D$44))*(1-((D$45*(1-(1-D$24)^$A58)+D$44*MIN((1-(1-D$24)^$A58)*(1+D$26),0.999))/(D$45+D$44)))*(1/D$45+1/D$44)))/SQRT((1-(1-D$24)^$A58)*(1-(1-(1-D$24)^$A58))/D$45+MIN((1-(1-D$24)^$A58)*(1+D$26),0.999)*(1-MIN((1-(1-D$24)^$A58)*(1+D$26),0.999))/D$44)),0)</f>
        <v>0.0686574926403583</v>
      </c>
      <c r="E58" s="2"/>
      <c r="F58" s="2"/>
    </row>
    <row r="59" customFormat="false" ht="15" hidden="false" customHeight="false" outlineLevel="0" collapsed="false">
      <c r="A59" s="26" t="n">
        <v>5</v>
      </c>
      <c r="B59" s="16" t="n">
        <f aca="false">IFERROR(NORMSDIST((ABS(MIN((1-(1-B$24)^$A59)*(1+B$26),0.999)-(1-(1-B$24)^$A59))-$B$10*SQRT(((B$45*(1-(1-B$24)^$A59)+B$44*MIN((1-(1-B$24)^$A59)*(1+B$26),0.999))/(B$45+B$44))*(1-((B$45*(1-(1-B$24)^$A59)+B$44*MIN((1-(1-B$24)^$A59)*(1+B$26),0.999))/(B$45+B$44)))*(1/B$45+1/B$44)))/SQRT((1-(1-B$24)^$A59)*(1-(1-(1-B$24)^$A59))/B$45+MIN((1-(1-B$24)^$A59)*(1+B$26),0.999)*(1-MIN((1-(1-B$24)^$A59)*(1+B$26),0.999))/B$44)),0)</f>
        <v>0.986534104343037</v>
      </c>
      <c r="C59" s="16" t="n">
        <f aca="false">IFERROR(NORMSDIST((ABS(MIN((1-(1-C$24)^$A59)*(1+C$26),0.999)-(1-(1-C$24)^$A59))-$B$10*SQRT(((C$45*(1-(1-C$24)^$A59)+C$44*MIN((1-(1-C$24)^$A59)*(1+C$26),0.999))/(C$45+C$44))*(1-((C$45*(1-(1-C$24)^$A59)+C$44*MIN((1-(1-C$24)^$A59)*(1+C$26),0.999))/(C$45+C$44)))*(1/C$45+1/C$44)))/SQRT((1-(1-C$24)^$A59)*(1-(1-(1-C$24)^$A59))/C$45+MIN((1-(1-C$24)^$A59)*(1+C$26),0.999)*(1-MIN((1-(1-C$24)^$A59)*(1+C$26),0.999))/C$44)),0)</f>
        <v>0.258692789591655</v>
      </c>
      <c r="D59" s="16" t="n">
        <f aca="false">IFERROR(NORMSDIST((ABS(MIN((1-(1-D$24)^$A59)*(1+D$26),0.999)-(1-(1-D$24)^$A59))-$B$10*SQRT(((D$45*(1-(1-D$24)^$A59)+D$44*MIN((1-(1-D$24)^$A59)*(1+D$26),0.999))/(D$45+D$44))*(1-((D$45*(1-(1-D$24)^$A59)+D$44*MIN((1-(1-D$24)^$A59)*(1+D$26),0.999))/(D$45+D$44)))*(1/D$45+1/D$44)))/SQRT((1-(1-D$24)^$A59)*(1-(1-(1-D$24)^$A59))/D$45+MIN((1-(1-D$24)^$A59)*(1+D$26),0.999)*(1-MIN((1-(1-D$24)^$A59)*(1+D$26),0.999))/D$44)),0)</f>
        <v>0.084357351243645</v>
      </c>
      <c r="E59" s="2"/>
      <c r="F59" s="2"/>
    </row>
    <row r="60" customFormat="false" ht="15" hidden="false" customHeight="false" outlineLevel="0" collapsed="false">
      <c r="A60" s="26" t="n">
        <v>6</v>
      </c>
      <c r="B60" s="16" t="n">
        <f aca="false">IFERROR(NORMSDIST((ABS(MIN((1-(1-B$24)^$A60)*(1+B$26),0.999)-(1-(1-B$24)^$A60))-$B$10*SQRT(((B$45*(1-(1-B$24)^$A60)+B$44*MIN((1-(1-B$24)^$A60)*(1+B$26),0.999))/(B$45+B$44))*(1-((B$45*(1-(1-B$24)^$A60)+B$44*MIN((1-(1-B$24)^$A60)*(1+B$26),0.999))/(B$45+B$44)))*(1/B$45+1/B$44)))/SQRT((1-(1-B$24)^$A60)*(1-(1-(1-B$24)^$A60))/B$45+MIN((1-(1-B$24)^$A60)*(1+B$26),0.999)*(1-MIN((1-(1-B$24)^$A60)*(1+B$26),0.999))/B$44)),0)</f>
        <v>0.996905244060923</v>
      </c>
      <c r="C60" s="16" t="n">
        <f aca="false">IFERROR(NORMSDIST((ABS(MIN((1-(1-C$24)^$A60)*(1+C$26),0.999)-(1-(1-C$24)^$A60))-$B$10*SQRT(((C$45*(1-(1-C$24)^$A60)+C$44*MIN((1-(1-C$24)^$A60)*(1+C$26),0.999))/(C$45+C$44))*(1-((C$45*(1-(1-C$24)^$A60)+C$44*MIN((1-(1-C$24)^$A60)*(1+C$26),0.999))/(C$45+C$44)))*(1/C$45+1/C$44)))/SQRT((1-(1-C$24)^$A60)*(1-(1-(1-C$24)^$A60))/C$45+MIN((1-(1-C$24)^$A60)*(1+C$26),0.999)*(1-MIN((1-(1-C$24)^$A60)*(1+C$26),0.999))/C$44)),0)</f>
        <v>0.321309020930109</v>
      </c>
      <c r="D60" s="16" t="n">
        <f aca="false">IFERROR(NORMSDIST((ABS(MIN((1-(1-D$24)^$A60)*(1+D$26),0.999)-(1-(1-D$24)^$A60))-$B$10*SQRT(((D$45*(1-(1-D$24)^$A60)+D$44*MIN((1-(1-D$24)^$A60)*(1+D$26),0.999))/(D$45+D$44))*(1-((D$45*(1-(1-D$24)^$A60)+D$44*MIN((1-(1-D$24)^$A60)*(1+D$26),0.999))/(D$45+D$44)))*(1/D$45+1/D$44)))/SQRT((1-(1-D$24)^$A60)*(1-(1-(1-D$24)^$A60))/D$45+MIN((1-(1-D$24)^$A60)*(1+D$26),0.999)*(1-MIN((1-(1-D$24)^$A60)*(1+D$26),0.999))/D$44)),0)</f>
        <v>0.10086207082924</v>
      </c>
      <c r="E60" s="2"/>
      <c r="F60" s="2"/>
    </row>
    <row r="61" customFormat="false" ht="15" hidden="false" customHeight="false" outlineLevel="0" collapsed="false">
      <c r="A61" s="26" t="n">
        <v>7</v>
      </c>
      <c r="B61" s="16" t="n">
        <f aca="false">IFERROR(NORMSDIST((ABS(MIN((1-(1-B$24)^$A61)*(1+B$26),0.999)-(1-(1-B$24)^$A61))-$B$10*SQRT(((B$45*(1-(1-B$24)^$A61)+B$44*MIN((1-(1-B$24)^$A61)*(1+B$26),0.999))/(B$45+B$44))*(1-((B$45*(1-(1-B$24)^$A61)+B$44*MIN((1-(1-B$24)^$A61)*(1+B$26),0.999))/(B$45+B$44)))*(1/B$45+1/B$44)))/SQRT((1-(1-B$24)^$A61)*(1-(1-(1-B$24)^$A61))/B$45+MIN((1-(1-B$24)^$A61)*(1+B$26),0.999)*(1-MIN((1-(1-B$24)^$A61)*(1+B$26),0.999))/B$44)),0)</f>
        <v>0.999411332147072</v>
      </c>
      <c r="C61" s="16" t="n">
        <f aca="false">IFERROR(NORMSDIST((ABS(MIN((1-(1-C$24)^$A61)*(1+C$26),0.999)-(1-(1-C$24)^$A61))-$B$10*SQRT(((C$45*(1-(1-C$24)^$A61)+C$44*MIN((1-(1-C$24)^$A61)*(1+C$26),0.999))/(C$45+C$44))*(1-((C$45*(1-(1-C$24)^$A61)+C$44*MIN((1-(1-C$24)^$A61)*(1+C$26),0.999))/(C$45+C$44)))*(1/C$45+1/C$44)))/SQRT((1-(1-C$24)^$A61)*(1-(1-(1-C$24)^$A61))/C$45+MIN((1-(1-C$24)^$A61)*(1+C$26),0.999)*(1-MIN((1-(1-C$24)^$A61)*(1+C$26),0.999))/C$44)),0)</f>
        <v>0.385471506279525</v>
      </c>
      <c r="D61" s="16" t="n">
        <f aca="false">IFERROR(NORMSDIST((ABS(MIN((1-(1-D$24)^$A61)*(1+D$26),0.999)-(1-(1-D$24)^$A61))-$B$10*SQRT(((D$45*(1-(1-D$24)^$A61)+D$44*MIN((1-(1-D$24)^$A61)*(1+D$26),0.999))/(D$45+D$44))*(1-((D$45*(1-(1-D$24)^$A61)+D$44*MIN((1-(1-D$24)^$A61)*(1+D$26),0.999))/(D$45+D$44)))*(1/D$45+1/D$44)))/SQRT((1-(1-D$24)^$A61)*(1-(1-(1-D$24)^$A61))/D$45+MIN((1-(1-D$24)^$A61)*(1+D$26),0.999)*(1-MIN((1-(1-D$24)^$A61)*(1+D$26),0.999))/D$44)),0)</f>
        <v>0.118136637139437</v>
      </c>
      <c r="E61" s="2"/>
      <c r="F61" s="2"/>
    </row>
    <row r="62" customFormat="false" ht="15" hidden="false" customHeight="false" outlineLevel="0" collapsed="false">
      <c r="A62" s="26" t="n">
        <v>8</v>
      </c>
      <c r="B62" s="16" t="n">
        <f aca="false">IFERROR(NORMSDIST((ABS(MIN((1-(1-B$24)^$A62)*(1+B$26),0.999)-(1-(1-B$24)^$A62))-$B$10*SQRT(((B$45*(1-(1-B$24)^$A62)+B$44*MIN((1-(1-B$24)^$A62)*(1+B$26),0.999))/(B$45+B$44))*(1-((B$45*(1-(1-B$24)^$A62)+B$44*MIN((1-(1-B$24)^$A62)*(1+B$26),0.999))/(B$45+B$44)))*(1/B$45+1/B$44)))/SQRT((1-(1-B$24)^$A62)*(1-(1-(1-B$24)^$A62))/B$45+MIN((1-(1-B$24)^$A62)*(1+B$26),0.999)*(1-MIN((1-(1-B$24)^$A62)*(1+B$26),0.999))/B$44)),0)</f>
        <v>0.999907837749006</v>
      </c>
      <c r="C62" s="16" t="n">
        <f aca="false">IFERROR(NORMSDIST((ABS(MIN((1-(1-C$24)^$A62)*(1+C$26),0.999)-(1-(1-C$24)^$A62))-$B$10*SQRT(((C$45*(1-(1-C$24)^$A62)+C$44*MIN((1-(1-C$24)^$A62)*(1+C$26),0.999))/(C$45+C$44))*(1-((C$45*(1-(1-C$24)^$A62)+C$44*MIN((1-(1-C$24)^$A62)*(1+C$26),0.999))/(C$45+C$44)))*(1/C$45+1/C$44)))/SQRT((1-(1-C$24)^$A62)*(1-(1-(1-C$24)^$A62))/C$45+MIN((1-(1-C$24)^$A62)*(1+C$26),0.999)*(1-MIN((1-(1-C$24)^$A62)*(1+C$26),0.999))/C$44)),0)</f>
        <v>0.449827485387897</v>
      </c>
      <c r="D62" s="16" t="n">
        <f aca="false">IFERROR(NORMSDIST((ABS(MIN((1-(1-D$24)^$A62)*(1+D$26),0.999)-(1-(1-D$24)^$A62))-$B$10*SQRT(((D$45*(1-(1-D$24)^$A62)+D$44*MIN((1-(1-D$24)^$A62)*(1+D$26),0.999))/(D$45+D$44))*(1-((D$45*(1-(1-D$24)^$A62)+D$44*MIN((1-(1-D$24)^$A62)*(1+D$26),0.999))/(D$45+D$44)))*(1/D$45+1/D$44)))/SQRT((1-(1-D$24)^$A62)*(1-(1-(1-D$24)^$A62))/D$45+MIN((1-(1-D$24)^$A62)*(1+D$26),0.999)*(1-MIN((1-(1-D$24)^$A62)*(1+D$26),0.999))/D$44)),0)</f>
        <v>0.13613395893133</v>
      </c>
      <c r="E62" s="2"/>
      <c r="F62" s="2"/>
    </row>
    <row r="63" customFormat="false" ht="15" hidden="false" customHeight="false" outlineLevel="0" collapsed="false">
      <c r="A63" s="26" t="n">
        <v>9</v>
      </c>
      <c r="B63" s="16" t="n">
        <f aca="false">IFERROR(NORMSDIST((ABS(MIN((1-(1-B$24)^$A63)*(1+B$26),0.999)-(1-(1-B$24)^$A63))-$B$10*SQRT(((B$45*(1-(1-B$24)^$A63)+B$44*MIN((1-(1-B$24)^$A63)*(1+B$26),0.999))/(B$45+B$44))*(1-((B$45*(1-(1-B$24)^$A63)+B$44*MIN((1-(1-B$24)^$A63)*(1+B$26),0.999))/(B$45+B$44)))*(1/B$45+1/B$44)))/SQRT((1-(1-B$24)^$A63)*(1-(1-(1-B$24)^$A63))/B$45+MIN((1-(1-B$24)^$A63)*(1+B$26),0.999)*(1-MIN((1-(1-B$24)^$A63)*(1+B$26),0.999))/B$44)),0)</f>
        <v>0.999988227140586</v>
      </c>
      <c r="C63" s="16" t="n">
        <f aca="false">IFERROR(NORMSDIST((ABS(MIN((1-(1-C$24)^$A63)*(1+C$26),0.999)-(1-(1-C$24)^$A63))-$B$10*SQRT(((C$45*(1-(1-C$24)^$A63)+C$44*MIN((1-(1-C$24)^$A63)*(1+C$26),0.999))/(C$45+C$44))*(1-((C$45*(1-(1-C$24)^$A63)+C$44*MIN((1-(1-C$24)^$A63)*(1+C$26),0.999))/(C$45+C$44)))*(1/C$45+1/C$44)))/SQRT((1-(1-C$24)^$A63)*(1-(1-(1-C$24)^$A63))/C$45+MIN((1-(1-C$24)^$A63)*(1+C$26),0.999)*(1-MIN((1-(1-C$24)^$A63)*(1+C$26),0.999))/C$44)),0)</f>
        <v>0.513116896204362</v>
      </c>
      <c r="D63" s="16" t="n">
        <f aca="false">IFERROR(NORMSDIST((ABS(MIN((1-(1-D$24)^$A63)*(1+D$26),0.999)-(1-(1-D$24)^$A63))-$B$10*SQRT(((D$45*(1-(1-D$24)^$A63)+D$44*MIN((1-(1-D$24)^$A63)*(1+D$26),0.999))/(D$45+D$44))*(1-((D$45*(1-(1-D$24)^$A63)+D$44*MIN((1-(1-D$24)^$A63)*(1+D$26),0.999))/(D$45+D$44)))*(1/D$45+1/D$44)))/SQRT((1-(1-D$24)^$A63)*(1-(1-(1-D$24)^$A63))/D$45+MIN((1-(1-D$24)^$A63)*(1+D$26),0.999)*(1-MIN((1-(1-D$24)^$A63)*(1+D$26),0.999))/D$44)),0)</f>
        <v>0.15480036499496</v>
      </c>
      <c r="E63" s="2"/>
      <c r="F63" s="2"/>
    </row>
    <row r="64" customFormat="false" ht="15" hidden="false" customHeight="false" outlineLevel="0" collapsed="false">
      <c r="A64" s="26" t="n">
        <v>10</v>
      </c>
      <c r="B64" s="16" t="n">
        <f aca="false">IFERROR(NORMSDIST((ABS(MIN((1-(1-B$24)^$A64)*(1+B$26),0.999)-(1-(1-B$24)^$A64))-$B$10*SQRT(((B$45*(1-(1-B$24)^$A64)+B$44*MIN((1-(1-B$24)^$A64)*(1+B$26),0.999))/(B$45+B$44))*(1-((B$45*(1-(1-B$24)^$A64)+B$44*MIN((1-(1-B$24)^$A64)*(1+B$26),0.999))/(B$45+B$44)))*(1/B$45+1/B$44)))/SQRT((1-(1-B$24)^$A64)*(1-(1-(1-B$24)^$A64))/B$45+MIN((1-(1-B$24)^$A64)*(1+B$26),0.999)*(1-MIN((1-(1-B$24)^$A64)*(1+B$26),0.999))/B$44)),0)</f>
        <v>0.999998787016377</v>
      </c>
      <c r="C64" s="16" t="n">
        <f aca="false">IFERROR(NORMSDIST((ABS(MIN((1-(1-C$24)^$A64)*(1+C$26),0.999)-(1-(1-C$24)^$A64))-$B$10*SQRT(((C$45*(1-(1-C$24)^$A64)+C$44*MIN((1-(1-C$24)^$A64)*(1+C$26),0.999))/(C$45+C$44))*(1-((C$45*(1-(1-C$24)^$A64)+C$44*MIN((1-(1-C$24)^$A64)*(1+C$26),0.999))/(C$45+C$44)))*(1/C$45+1/C$44)))/SQRT((1-(1-C$24)^$A64)*(1-(1-(1-C$24)^$A64))/C$45+MIN((1-(1-C$24)^$A64)*(1+C$26),0.999)*(1-MIN((1-(1-C$24)^$A64)*(1+C$26),0.999))/C$44)),0)</f>
        <v>0.574213765368228</v>
      </c>
      <c r="D64" s="16" t="n">
        <f aca="false">IFERROR(NORMSDIST((ABS(MIN((1-(1-D$24)^$A64)*(1+D$26),0.999)-(1-(1-D$24)^$A64))-$B$10*SQRT(((D$45*(1-(1-D$24)^$A64)+D$44*MIN((1-(1-D$24)^$A64)*(1+D$26),0.999))/(D$45+D$44))*(1-((D$45*(1-(1-D$24)^$A64)+D$44*MIN((1-(1-D$24)^$A64)*(1+D$26),0.999))/(D$45+D$44)))*(1/D$45+1/D$44)))/SQRT((1-(1-D$24)^$A64)*(1-(1-(1-D$24)^$A64))/D$45+MIN((1-(1-D$24)^$A64)*(1+D$26),0.999)*(1-MIN((1-(1-D$24)^$A64)*(1+D$26),0.999))/D$44)),0)</f>
        <v>0.174078332095706</v>
      </c>
      <c r="E64" s="2"/>
      <c r="F64" s="2"/>
    </row>
    <row r="65" customFormat="false" ht="15" hidden="false" customHeight="false" outlineLevel="0" collapsed="false">
      <c r="A65" s="26" t="n">
        <v>11</v>
      </c>
      <c r="B65" s="16" t="n">
        <f aca="false">IFERROR(NORMSDIST((ABS(MIN((1-(1-B$24)^$A65)*(1+B$26),0.999)-(1-(1-B$24)^$A65))-$B$10*SQRT(((B$45*(1-(1-B$24)^$A65)+B$44*MIN((1-(1-B$24)^$A65)*(1+B$26),0.999))/(B$45+B$44))*(1-((B$45*(1-(1-B$24)^$A65)+B$44*MIN((1-(1-B$24)^$A65)*(1+B$26),0.999))/(B$45+B$44)))*(1/B$45+1/B$44)))/SQRT((1-(1-B$24)^$A65)*(1-(1-(1-B$24)^$A65))/B$45+MIN((1-(1-B$24)^$A65)*(1+B$26),0.999)*(1-MIN((1-(1-B$24)^$A65)*(1+B$26),0.999))/B$44)),0)</f>
        <v>0.999999900613897</v>
      </c>
      <c r="C65" s="16" t="n">
        <f aca="false">IFERROR(NORMSDIST((ABS(MIN((1-(1-C$24)^$A65)*(1+C$26),0.999)-(1-(1-C$24)^$A65))-$B$10*SQRT(((C$45*(1-(1-C$24)^$A65)+C$44*MIN((1-(1-C$24)^$A65)*(1+C$26),0.999))/(C$45+C$44))*(1-((C$45*(1-(1-C$24)^$A65)+C$44*MIN((1-(1-C$24)^$A65)*(1+C$26),0.999))/(C$45+C$44)))*(1/C$45+1/C$44)))/SQRT((1-(1-C$24)^$A65)*(1-(1-(1-C$24)^$A65))/C$45+MIN((1-(1-C$24)^$A65)*(1+C$26),0.999)*(1-MIN((1-(1-C$24)^$A65)*(1+C$26),0.999))/C$44)),0)</f>
        <v>0.632158101020602</v>
      </c>
      <c r="D65" s="16" t="n">
        <f aca="false">IFERROR(NORMSDIST((ABS(MIN((1-(1-D$24)^$A65)*(1+D$26),0.999)-(1-(1-D$24)^$A65))-$B$10*SQRT(((D$45*(1-(1-D$24)^$A65)+D$44*MIN((1-(1-D$24)^$A65)*(1+D$26),0.999))/(D$45+D$44))*(1-((D$45*(1-(1-D$24)^$A65)+D$44*MIN((1-(1-D$24)^$A65)*(1+D$26),0.999))/(D$45+D$44)))*(1/D$45+1/D$44)))/SQRT((1-(1-D$24)^$A65)*(1-(1-(1-D$24)^$A65))/D$45+MIN((1-(1-D$24)^$A65)*(1+D$26),0.999)*(1-MIN((1-(1-D$24)^$A65)*(1+D$26),0.999))/D$44)),0)</f>
        <v>0.193908029867781</v>
      </c>
      <c r="E65" s="2"/>
      <c r="F65" s="2"/>
    </row>
    <row r="66" customFormat="false" ht="15" hidden="false" customHeight="false" outlineLevel="0" collapsed="false">
      <c r="A66" s="26" t="n">
        <v>12</v>
      </c>
      <c r="B66" s="16" t="n">
        <f aca="false">IFERROR(NORMSDIST((ABS(MIN((1-(1-B$24)^$A66)*(1+B$26),0.999)-(1-(1-B$24)^$A66))-$B$10*SQRT(((B$45*(1-(1-B$24)^$A66)+B$44*MIN((1-(1-B$24)^$A66)*(1+B$26),0.999))/(B$45+B$44))*(1-((B$45*(1-(1-B$24)^$A66)+B$44*MIN((1-(1-B$24)^$A66)*(1+B$26),0.999))/(B$45+B$44)))*(1/B$45+1/B$44)))/SQRT((1-(1-B$24)^$A66)*(1-(1-(1-B$24)^$A66))/B$45+MIN((1-(1-B$24)^$A66)*(1+B$26),0.999)*(1-MIN((1-(1-B$24)^$A66)*(1+B$26),0.999))/B$44)),0)</f>
        <v>0.999999993632062</v>
      </c>
      <c r="C66" s="16" t="n">
        <f aca="false">IFERROR(NORMSDIST((ABS(MIN((1-(1-C$24)^$A66)*(1+C$26),0.999)-(1-(1-C$24)^$A66))-$B$10*SQRT(((C$45*(1-(1-C$24)^$A66)+C$44*MIN((1-(1-C$24)^$A66)*(1+C$26),0.999))/(C$45+C$44))*(1-((C$45*(1-(1-C$24)^$A66)+C$44*MIN((1-(1-C$24)^$A66)*(1+C$26),0.999))/(C$45+C$44)))*(1/C$45+1/C$44)))/SQRT((1-(1-C$24)^$A66)*(1-(1-(1-C$24)^$A66))/C$45+MIN((1-(1-C$24)^$A66)*(1+C$26),0.999)*(1-MIN((1-(1-C$24)^$A66)*(1+C$26),0.999))/C$44)),0)</f>
        <v>0.686177648758822</v>
      </c>
      <c r="D66" s="16" t="n">
        <f aca="false">IFERROR(NORMSDIST((ABS(MIN((1-(1-D$24)^$A66)*(1+D$26),0.999)-(1-(1-D$24)^$A66))-$B$10*SQRT(((D$45*(1-(1-D$24)^$A66)+D$44*MIN((1-(1-D$24)^$A66)*(1+D$26),0.999))/(D$45+D$44))*(1-((D$45*(1-(1-D$24)^$A66)+D$44*MIN((1-(1-D$24)^$A66)*(1+D$26),0.999))/(D$45+D$44)))*(1/D$45+1/D$44)))/SQRT((1-(1-D$24)^$A66)*(1-(1-(1-D$24)^$A66))/D$45+MIN((1-(1-D$24)^$A66)*(1+D$26),0.999)*(1-MIN((1-(1-D$24)^$A66)*(1+D$26),0.999))/D$44)),0)</f>
        <v>0.214228302973138</v>
      </c>
      <c r="E66" s="2"/>
      <c r="F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</row>
    <row r="68" customFormat="false" ht="15" hidden="false" customHeight="true" outlineLevel="0" collapsed="false">
      <c r="A68" s="27" t="s">
        <v>92</v>
      </c>
      <c r="B68" s="27"/>
      <c r="C68" s="27"/>
      <c r="D68" s="27"/>
      <c r="E68" s="27"/>
      <c r="F68" s="2"/>
    </row>
    <row r="69" customFormat="false" ht="15" hidden="false" customHeight="false" outlineLevel="0" collapsed="false">
      <c r="A69" s="27"/>
      <c r="B69" s="27"/>
      <c r="C69" s="27"/>
      <c r="D69" s="27"/>
      <c r="E69" s="27"/>
      <c r="F69" s="2"/>
    </row>
    <row r="70" customFormat="false" ht="15" hidden="false" customHeight="false" outlineLevel="0" collapsed="false">
      <c r="A70" s="27"/>
      <c r="B70" s="27"/>
      <c r="C70" s="27"/>
      <c r="D70" s="27"/>
      <c r="E70" s="27"/>
      <c r="F70" s="2"/>
    </row>
  </sheetData>
  <mergeCells count="1">
    <mergeCell ref="A68:E70"/>
  </mergeCells>
  <conditionalFormatting sqref="B34:D34">
    <cfRule type="cellIs" priority="2" operator="equal" aboveAverage="0" equalAverage="0" bottom="0" percent="0" rank="0" text="" dxfId="0">
      <formula>"SÍ"</formula>
    </cfRule>
    <cfRule type="cellIs" priority="3" operator="equal" aboveAverage="0" equalAverage="0" bottom="0" percent="0" rank="0" text="" dxfId="1">
      <formula>"NO"</formula>
    </cfRule>
  </conditionalFormatting>
  <conditionalFormatting sqref="B38:D38">
    <cfRule type="expression" priority="4" aboveAverage="0" equalAverage="0" bottom="0" percent="0" rank="0" text="" dxfId="2">
      <formula>LEFT(B38,2)="Sí"</formula>
    </cfRule>
    <cfRule type="expression" priority="5" aboveAverage="0" equalAverage="0" bottom="0" percent="0" rank="0" text="" dxfId="3">
      <formula>LEFT(B38,2)="No"</formula>
    </cfRule>
  </conditionalFormatting>
  <conditionalFormatting sqref="B30:D30">
    <cfRule type="expression" priority="6" aboveAverage="0" equalAverage="0" bottom="0" percent="0" rank="0" text="" dxfId="2">
      <formula>LEFT(B30,2)="Sí"</formula>
    </cfRule>
    <cfRule type="expression" priority="7" aboveAverage="0" equalAverage="0" bottom="0" percent="0" rank="0" text="" dxfId="3">
      <formula>LEFT(B30,2)="NO"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93</v>
      </c>
    </row>
    <row r="2" customFormat="false" ht="15" hidden="false" customHeight="false" outlineLevel="0" collapsed="false">
      <c r="A2" s="3" t="s">
        <v>94</v>
      </c>
    </row>
    <row r="3" customFormat="false" ht="15" hidden="false" customHeight="false" outlineLevel="0" collapsed="false">
      <c r="A3" s="2" t="s">
        <v>95</v>
      </c>
      <c r="B3" s="11" t="n">
        <v>1</v>
      </c>
      <c r="C3" s="3" t="s">
        <v>96</v>
      </c>
    </row>
    <row r="5" customFormat="false" ht="15" hidden="false" customHeight="false" outlineLevel="0" collapsed="false">
      <c r="A5" s="28" t="s">
        <v>97</v>
      </c>
      <c r="B5" s="29" t="n">
        <v>0.1</v>
      </c>
      <c r="C5" s="29" t="n">
        <v>0.15</v>
      </c>
      <c r="D5" s="29" t="n">
        <v>0.2</v>
      </c>
      <c r="E5" s="29" t="n">
        <v>0.3</v>
      </c>
      <c r="F5" s="29" t="n">
        <v>0.5</v>
      </c>
    </row>
    <row r="6" customFormat="false" ht="15" hidden="false" customHeight="false" outlineLevel="0" collapsed="false">
      <c r="A6" s="29" t="n">
        <v>0.01</v>
      </c>
      <c r="B6" s="30" t="n">
        <f aca="false">ROUNDUP(((Calculadora!$B$10*SQRT(2*(($A6+($A6*(1+B$5*$B$3)))/2)*(1-(($A6+($A6*(1+B$5*$B$3)))/2)))+Calculadora!$B$11*SQRT($A6*(1-$A6)+($A6*(1+B$5*$B$3))*(1-($A6*(1+B$5*$B$3)))))^2)/(($A6*(1+B$5*$B$3))-$A6)^2,0)</f>
        <v>217542</v>
      </c>
      <c r="C6" s="30" t="n">
        <f aca="false">ROUNDUP(((Calculadora!$B$10*SQRT(2*(($A6+($A6*(1+C$5*$B$3)))/2)*(1-(($A6+($A6*(1+C$5*$B$3)))/2)))+Calculadora!$B$11*SQRT($A6*(1-$A6)+($A6*(1+C$5*$B$3))*(1-($A6*(1+C$5*$B$3)))))^2)/(($A6*(1+C$5*$B$3))-$A6)^2,0)</f>
        <v>98962</v>
      </c>
      <c r="D6" s="30" t="n">
        <f aca="false">ROUNDUP(((Calculadora!$B$10*SQRT(2*(($A6+($A6*(1+D$5*$B$3)))/2)*(1-(($A6+($A6*(1+D$5*$B$3)))/2)))+Calculadora!$B$11*SQRT($A6*(1-$A6)+($A6*(1+D$5*$B$3))*(1-($A6*(1+D$5*$B$3)))))^2)/(($A6*(1+D$5*$B$3))-$A6)^2,0)</f>
        <v>56946</v>
      </c>
      <c r="E6" s="30" t="n">
        <f aca="false">ROUNDUP(((Calculadora!$B$10*SQRT(2*(($A6+($A6*(1+E$5*$B$3)))/2)*(1-(($A6+($A6*(1+E$5*$B$3)))/2)))+Calculadora!$B$11*SQRT($A6*(1-$A6)+($A6*(1+E$5*$B$3))*(1-($A6*(1+E$5*$B$3)))))^2)/(($A6*(1+E$5*$B$3))-$A6)^2,0)</f>
        <v>26446</v>
      </c>
      <c r="F6" s="30" t="n">
        <f aca="false">ROUNDUP(((Calculadora!$B$10*SQRT(2*(($A6+($A6*(1+F$5*$B$3)))/2)*(1-(($A6+($A6*(1+F$5*$B$3)))/2)))+Calculadora!$B$11*SQRT($A6*(1-$A6)+($A6*(1+F$5*$B$3))*(1-($A6*(1+F$5*$B$3)))))^2)/(($A6*(1+F$5*$B$3))-$A6)^2,0)</f>
        <v>10337</v>
      </c>
    </row>
    <row r="7" customFormat="false" ht="15" hidden="false" customHeight="false" outlineLevel="0" collapsed="false">
      <c r="A7" s="29" t="n">
        <v>0.02</v>
      </c>
      <c r="B7" s="30" t="n">
        <f aca="false">ROUNDUP(((Calculadora!$B$10*SQRT(2*(($A7+($A7*(1+B$5*$B$3)))/2)*(1-(($A7+($A7*(1+B$5*$B$3)))/2)))+Calculadora!$B$11*SQRT($A7*(1-$A7)+($A7*(1+B$5*$B$3))*(1-($A7*(1+B$5*$B$3)))))^2)/(($A7*(1+B$5*$B$3))-$A7)^2,0)</f>
        <v>107616</v>
      </c>
      <c r="C7" s="30" t="n">
        <f aca="false">ROUNDUP(((Calculadora!$B$10*SQRT(2*(($A7+($A7*(1+C$5*$B$3)))/2)*(1-(($A7+($A7*(1+C$5*$B$3)))/2)))+Calculadora!$B$11*SQRT($A7*(1-$A7)+($A7*(1+C$5*$B$3))*(1-($A7*(1+C$5*$B$3)))))^2)/(($A7*(1+C$5*$B$3))-$A7)^2,0)</f>
        <v>48943</v>
      </c>
      <c r="D7" s="30" t="n">
        <f aca="false">ROUNDUP(((Calculadora!$B$10*SQRT(2*(($A7+($A7*(1+D$5*$B$3)))/2)*(1-(($A7+($A7*(1+D$5*$B$3)))/2)))+Calculadora!$B$11*SQRT($A7*(1-$A7)+($A7*(1+D$5*$B$3))*(1-($A7*(1+D$5*$B$3)))))^2)/(($A7*(1+D$5*$B$3))-$A7)^2,0)</f>
        <v>28156</v>
      </c>
      <c r="E7" s="30" t="n">
        <f aca="false">ROUNDUP(((Calculadora!$B$10*SQRT(2*(($A7+($A7*(1+E$5*$B$3)))/2)*(1-(($A7+($A7*(1+E$5*$B$3)))/2)))+Calculadora!$B$11*SQRT($A7*(1-$A7)+($A7*(1+E$5*$B$3))*(1-($A7*(1+E$5*$B$3)))))^2)/(($A7*(1+E$5*$B$3))-$A7)^2,0)</f>
        <v>13069</v>
      </c>
      <c r="F7" s="30" t="n">
        <f aca="false">ROUNDUP(((Calculadora!$B$10*SQRT(2*(($A7+($A7*(1+F$5*$B$3)))/2)*(1-(($A7+($A7*(1+F$5*$B$3)))/2)))+Calculadora!$B$11*SQRT($A7*(1-$A7)+($A7*(1+F$5*$B$3))*(1-($A7*(1+F$5*$B$3)))))^2)/(($A7*(1+F$5*$B$3))-$A7)^2,0)</f>
        <v>5103</v>
      </c>
    </row>
    <row r="8" customFormat="false" ht="15" hidden="false" customHeight="false" outlineLevel="0" collapsed="false">
      <c r="A8" s="29" t="n">
        <v>0.03</v>
      </c>
      <c r="B8" s="30" t="n">
        <f aca="false">ROUNDUP(((Calculadora!$B$10*SQRT(2*(($A8+($A8*(1+B$5*$B$3)))/2)*(1-(($A8+($A8*(1+B$5*$B$3)))/2)))+Calculadora!$B$11*SQRT($A8*(1-$A8)+($A8*(1+B$5*$B$3))*(1-($A8*(1+B$5*$B$3)))))^2)/(($A8*(1+B$5*$B$3))-$A8)^2,0)</f>
        <v>70974</v>
      </c>
      <c r="C8" s="30" t="n">
        <f aca="false">ROUNDUP(((Calculadora!$B$10*SQRT(2*(($A8+($A8*(1+C$5*$B$3)))/2)*(1-(($A8+($A8*(1+C$5*$B$3)))/2)))+Calculadora!$B$11*SQRT($A8*(1-$A8)+($A8*(1+C$5*$B$3))*(1-($A8*(1+C$5*$B$3)))))^2)/(($A8*(1+C$5*$B$3))-$A8)^2,0)</f>
        <v>32270</v>
      </c>
      <c r="D8" s="30" t="n">
        <f aca="false">ROUNDUP(((Calculadora!$B$10*SQRT(2*(($A8+($A8*(1+D$5*$B$3)))/2)*(1-(($A8+($A8*(1+D$5*$B$3)))/2)))+Calculadora!$B$11*SQRT($A8*(1-$A8)+($A8*(1+D$5*$B$3))*(1-($A8*(1+D$5*$B$3)))))^2)/(($A8*(1+D$5*$B$3))-$A8)^2,0)</f>
        <v>18559</v>
      </c>
      <c r="E8" s="30" t="n">
        <f aca="false">ROUNDUP(((Calculadora!$B$10*SQRT(2*(($A8+($A8*(1+E$5*$B$3)))/2)*(1-(($A8+($A8*(1+E$5*$B$3)))/2)))+Calculadora!$B$11*SQRT($A8*(1-$A8)+($A8*(1+E$5*$B$3))*(1-($A8*(1+E$5*$B$3)))))^2)/(($A8*(1+E$5*$B$3))-$A8)^2,0)</f>
        <v>8610</v>
      </c>
      <c r="F8" s="30" t="n">
        <f aca="false">ROUNDUP(((Calculadora!$B$10*SQRT(2*(($A8+($A8*(1+F$5*$B$3)))/2)*(1-(($A8+($A8*(1+F$5*$B$3)))/2)))+Calculadora!$B$11*SQRT($A8*(1-$A8)+($A8*(1+F$5*$B$3))*(1-($A8*(1+F$5*$B$3)))))^2)/(($A8*(1+F$5*$B$3))-$A8)^2,0)</f>
        <v>3358</v>
      </c>
    </row>
    <row r="9" customFormat="false" ht="15" hidden="false" customHeight="false" outlineLevel="0" collapsed="false">
      <c r="A9" s="29" t="n">
        <v>0.05</v>
      </c>
      <c r="B9" s="30" t="n">
        <f aca="false">ROUNDUP(((Calculadora!$B$10*SQRT(2*(($A9+($A9*(1+B$5*$B$3)))/2)*(1-(($A9+($A9*(1+B$5*$B$3)))/2)))+Calculadora!$B$11*SQRT($A9*(1-$A9)+($A9*(1+B$5*$B$3))*(1-($A9*(1+B$5*$B$3)))))^2)/(($A9*(1+B$5*$B$3))-$A9)^2,0)</f>
        <v>41661</v>
      </c>
      <c r="C9" s="30" t="n">
        <f aca="false">ROUNDUP(((Calculadora!$B$10*SQRT(2*(($A9+($A9*(1+C$5*$B$3)))/2)*(1-(($A9+($A9*(1+C$5*$B$3)))/2)))+Calculadora!$B$11*SQRT($A9*(1-$A9)+($A9*(1+C$5*$B$3))*(1-($A9*(1+C$5*$B$3)))))^2)/(($A9*(1+C$5*$B$3))-$A9)^2,0)</f>
        <v>18931</v>
      </c>
      <c r="D9" s="30" t="n">
        <f aca="false">ROUNDUP(((Calculadora!$B$10*SQRT(2*(($A9+($A9*(1+D$5*$B$3)))/2)*(1-(($A9+($A9*(1+D$5*$B$3)))/2)))+Calculadora!$B$11*SQRT($A9*(1-$A9)+($A9*(1+D$5*$B$3))*(1-($A9*(1+D$5*$B$3)))))^2)/(($A9*(1+D$5*$B$3))-$A9)^2,0)</f>
        <v>10882</v>
      </c>
      <c r="E9" s="30" t="n">
        <f aca="false">ROUNDUP(((Calculadora!$B$10*SQRT(2*(($A9+($A9*(1+E$5*$B$3)))/2)*(1-(($A9+($A9*(1+E$5*$B$3)))/2)))+Calculadora!$B$11*SQRT($A9*(1-$A9)+($A9*(1+E$5*$B$3))*(1-($A9*(1+E$5*$B$3)))))^2)/(($A9*(1+E$5*$B$3))-$A9)^2,0)</f>
        <v>5042</v>
      </c>
      <c r="F9" s="30" t="n">
        <f aca="false">ROUNDUP(((Calculadora!$B$10*SQRT(2*(($A9+($A9*(1+F$5*$B$3)))/2)*(1-(($A9+($A9*(1+F$5*$B$3)))/2)))+Calculadora!$B$11*SQRT($A9*(1-$A9)+($A9*(1+F$5*$B$3))*(1-($A9*(1+F$5*$B$3)))))^2)/(($A9*(1+F$5*$B$3))-$A9)^2,0)</f>
        <v>1962</v>
      </c>
    </row>
    <row r="10" customFormat="false" ht="15" hidden="false" customHeight="false" outlineLevel="0" collapsed="false">
      <c r="A10" s="29" t="n">
        <v>0.08</v>
      </c>
      <c r="B10" s="30" t="n">
        <f aca="false">ROUNDUP(((Calculadora!$B$10*SQRT(2*(($A10+($A10*(1+B$5*$B$3)))/2)*(1-(($A10+($A10*(1+B$5*$B$3)))/2)))+Calculadora!$B$11*SQRT($A10*(1-$A10)+($A10*(1+B$5*$B$3))*(1-($A10*(1+B$5*$B$3)))))^2)/(($A10*(1+B$5*$B$3))-$A10)^2,0)</f>
        <v>25172</v>
      </c>
      <c r="C10" s="30" t="n">
        <f aca="false">ROUNDUP(((Calculadora!$B$10*SQRT(2*(($A10+($A10*(1+C$5*$B$3)))/2)*(1-(($A10+($A10*(1+C$5*$B$3)))/2)))+Calculadora!$B$11*SQRT($A10*(1-$A10)+($A10*(1+C$5*$B$3))*(1-($A10*(1+C$5*$B$3)))))^2)/(($A10*(1+C$5*$B$3))-$A10)^2,0)</f>
        <v>11429</v>
      </c>
      <c r="D10" s="30" t="n">
        <f aca="false">ROUNDUP(((Calculadora!$B$10*SQRT(2*(($A10+($A10*(1+D$5*$B$3)))/2)*(1-(($A10+($A10*(1+D$5*$B$3)))/2)))+Calculadora!$B$11*SQRT($A10*(1-$A10)+($A10*(1+D$5*$B$3))*(1-($A10*(1+D$5*$B$3)))))^2)/(($A10*(1+D$5*$B$3))-$A10)^2,0)</f>
        <v>6563</v>
      </c>
      <c r="E10" s="30" t="n">
        <f aca="false">ROUNDUP(((Calculadora!$B$10*SQRT(2*(($A10+($A10*(1+E$5*$B$3)))/2)*(1-(($A10+($A10*(1+E$5*$B$3)))/2)))+Calculadora!$B$11*SQRT($A10*(1-$A10)+($A10*(1+E$5*$B$3))*(1-($A10*(1+E$5*$B$3)))))^2)/(($A10*(1+E$5*$B$3))-$A10)^2,0)</f>
        <v>3036</v>
      </c>
      <c r="F10" s="30" t="n">
        <f aca="false">ROUNDUP(((Calculadora!$B$10*SQRT(2*(($A10+($A10*(1+F$5*$B$3)))/2)*(1-(($A10+($A10*(1+F$5*$B$3)))/2)))+Calculadora!$B$11*SQRT($A10*(1-$A10)+($A10*(1+F$5*$B$3))*(1-($A10*(1+F$5*$B$3)))))^2)/(($A10*(1+F$5*$B$3))-$A10)^2,0)</f>
        <v>1177</v>
      </c>
    </row>
    <row r="11" customFormat="false" ht="15" hidden="false" customHeight="false" outlineLevel="0" collapsed="false">
      <c r="A11" s="29" t="n">
        <v>0.1</v>
      </c>
      <c r="B11" s="30" t="n">
        <f aca="false">ROUNDUP(((Calculadora!$B$10*SQRT(2*(($A11+($A11*(1+B$5*$B$3)))/2)*(1-(($A11+($A11*(1+B$5*$B$3)))/2)))+Calculadora!$B$11*SQRT($A11*(1-$A11)+($A11*(1+B$5*$B$3))*(1-($A11*(1+B$5*$B$3)))))^2)/(($A11*(1+B$5*$B$3))-$A11)^2,0)</f>
        <v>19676</v>
      </c>
      <c r="C11" s="30" t="n">
        <f aca="false">ROUNDUP(((Calculadora!$B$10*SQRT(2*(($A11+($A11*(1+C$5*$B$3)))/2)*(1-(($A11+($A11*(1+C$5*$B$3)))/2)))+Calculadora!$B$11*SQRT($A11*(1-$A11)+($A11*(1+C$5*$B$3))*(1-($A11*(1+C$5*$B$3)))))^2)/(($A11*(1+C$5*$B$3))-$A11)^2,0)</f>
        <v>8928</v>
      </c>
      <c r="D11" s="30" t="n">
        <f aca="false">ROUNDUP(((Calculadora!$B$10*SQRT(2*(($A11+($A11*(1+D$5*$B$3)))/2)*(1-(($A11+($A11*(1+D$5*$B$3)))/2)))+Calculadora!$B$11*SQRT($A11*(1-$A11)+($A11*(1+D$5*$B$3))*(1-($A11*(1+D$5*$B$3)))))^2)/(($A11*(1+D$5*$B$3))-$A11)^2,0)</f>
        <v>5124</v>
      </c>
      <c r="E11" s="30" t="n">
        <f aca="false">ROUNDUP(((Calculadora!$B$10*SQRT(2*(($A11+($A11*(1+E$5*$B$3)))/2)*(1-(($A11+($A11*(1+E$5*$B$3)))/2)))+Calculadora!$B$11*SQRT($A11*(1-$A11)+($A11*(1+E$5*$B$3))*(1-($A11*(1+E$5*$B$3)))))^2)/(($A11*(1+E$5*$B$3))-$A11)^2,0)</f>
        <v>2367</v>
      </c>
      <c r="F11" s="30" t="n">
        <f aca="false">ROUNDUP(((Calculadora!$B$10*SQRT(2*(($A11+($A11*(1+F$5*$B$3)))/2)*(1-(($A11+($A11*(1+F$5*$B$3)))/2)))+Calculadora!$B$11*SQRT($A11*(1-$A11)+($A11*(1+F$5*$B$3))*(1-($A11*(1+F$5*$B$3)))))^2)/(($A11*(1+F$5*$B$3))-$A11)^2,0)</f>
        <v>915</v>
      </c>
    </row>
    <row r="12" customFormat="false" ht="15" hidden="false" customHeight="false" outlineLevel="0" collapsed="false">
      <c r="A12" s="29" t="n">
        <v>0.15</v>
      </c>
      <c r="B12" s="30" t="n">
        <f aca="false">ROUNDUP(((Calculadora!$B$10*SQRT(2*(($A12+($A12*(1+B$5*$B$3)))/2)*(1-(($A12+($A12*(1+B$5*$B$3)))/2)))+Calculadora!$B$11*SQRT($A12*(1-$A12)+($A12*(1+B$5*$B$3))*(1-($A12*(1+B$5*$B$3)))))^2)/(($A12*(1+B$5*$B$3))-$A12)^2,0)</f>
        <v>12347</v>
      </c>
      <c r="C12" s="30" t="n">
        <f aca="false">ROUNDUP(((Calculadora!$B$10*SQRT(2*(($A12+($A12*(1+C$5*$B$3)))/2)*(1-(($A12+($A12*(1+C$5*$B$3)))/2)))+Calculadora!$B$11*SQRT($A12*(1-$A12)+($A12*(1+C$5*$B$3))*(1-($A12*(1+C$5*$B$3)))))^2)/(($A12*(1+C$5*$B$3))-$A12)^2,0)</f>
        <v>5593</v>
      </c>
      <c r="D12" s="30" t="n">
        <f aca="false">ROUNDUP(((Calculadora!$B$10*SQRT(2*(($A12+($A12*(1+D$5*$B$3)))/2)*(1-(($A12+($A12*(1+D$5*$B$3)))/2)))+Calculadora!$B$11*SQRT($A12*(1-$A12)+($A12*(1+D$5*$B$3))*(1-($A12*(1+D$5*$B$3)))))^2)/(($A12*(1+D$5*$B$3))-$A12)^2,0)</f>
        <v>3204</v>
      </c>
      <c r="E12" s="30" t="n">
        <f aca="false">ROUNDUP(((Calculadora!$B$10*SQRT(2*(($A12+($A12*(1+E$5*$B$3)))/2)*(1-(($A12+($A12*(1+E$5*$B$3)))/2)))+Calculadora!$B$11*SQRT($A12*(1-$A12)+($A12*(1+E$5*$B$3))*(1-($A12*(1+E$5*$B$3)))))^2)/(($A12*(1+E$5*$B$3))-$A12)^2,0)</f>
        <v>1475</v>
      </c>
      <c r="F12" s="30" t="n">
        <f aca="false">ROUNDUP(((Calculadora!$B$10*SQRT(2*(($A12+($A12*(1+F$5*$B$3)))/2)*(1-(($A12+($A12*(1+F$5*$B$3)))/2)))+Calculadora!$B$11*SQRT($A12*(1-$A12)+($A12*(1+F$5*$B$3))*(1-($A12*(1+F$5*$B$3)))))^2)/(($A12*(1+F$5*$B$3))-$A12)^2,0)</f>
        <v>566</v>
      </c>
    </row>
    <row r="13" customFormat="false" ht="15" hidden="false" customHeight="false" outlineLevel="0" collapsed="false">
      <c r="A13" s="29" t="n">
        <v>0.2</v>
      </c>
      <c r="B13" s="30" t="n">
        <f aca="false">ROUNDUP(((Calculadora!$B$10*SQRT(2*(($A13+($A13*(1+B$5*$B$3)))/2)*(1-(($A13+($A13*(1+B$5*$B$3)))/2)))+Calculadora!$B$11*SQRT($A13*(1-$A13)+($A13*(1+B$5*$B$3))*(1-($A13*(1+B$5*$B$3)))))^2)/(($A13*(1+B$5*$B$3))-$A13)^2,0)</f>
        <v>8683</v>
      </c>
      <c r="C13" s="30" t="n">
        <f aca="false">ROUNDUP(((Calculadora!$B$10*SQRT(2*(($A13+($A13*(1+C$5*$B$3)))/2)*(1-(($A13+($A13*(1+C$5*$B$3)))/2)))+Calculadora!$B$11*SQRT($A13*(1-$A13)+($A13*(1+C$5*$B$3))*(1-($A13*(1+C$5*$B$3)))))^2)/(($A13*(1+C$5*$B$3))-$A13)^2,0)</f>
        <v>3926</v>
      </c>
      <c r="D13" s="30" t="n">
        <f aca="false">ROUNDUP(((Calculadora!$B$10*SQRT(2*(($A13+($A13*(1+D$5*$B$3)))/2)*(1-(($A13+($A13*(1+D$5*$B$3)))/2)))+Calculadora!$B$11*SQRT($A13*(1-$A13)+($A13*(1+D$5*$B$3))*(1-($A13*(1+D$5*$B$3)))))^2)/(($A13*(1+D$5*$B$3))-$A13)^2,0)</f>
        <v>2245</v>
      </c>
      <c r="E13" s="30" t="n">
        <f aca="false">ROUNDUP(((Calculadora!$B$10*SQRT(2*(($A13+($A13*(1+E$5*$B$3)))/2)*(1-(($A13+($A13*(1+E$5*$B$3)))/2)))+Calculadora!$B$11*SQRT($A13*(1-$A13)+($A13*(1+E$5*$B$3))*(1-($A13*(1+E$5*$B$3)))))^2)/(($A13*(1+E$5*$B$3))-$A13)^2,0)</f>
        <v>1029</v>
      </c>
      <c r="F13" s="30" t="n">
        <f aca="false">ROUNDUP(((Calculadora!$B$10*SQRT(2*(($A13+($A13*(1+F$5*$B$3)))/2)*(1-(($A13+($A13*(1+F$5*$B$3)))/2)))+Calculadora!$B$11*SQRT($A13*(1-$A13)+($A13*(1+F$5*$B$3))*(1-($A13*(1+F$5*$B$3)))))^2)/(($A13*(1+F$5*$B$3))-$A13)^2,0)</f>
        <v>392</v>
      </c>
    </row>
    <row r="15" customFormat="false" ht="15" hidden="false" customHeight="false" outlineLevel="0" collapsed="false">
      <c r="A15" s="3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7.35" hidden="false" customHeight="false" outlineLevel="0" collapsed="false">
      <c r="A1" s="1" t="s">
        <v>99</v>
      </c>
    </row>
    <row r="3" customFormat="false" ht="15" hidden="false" customHeight="false" outlineLevel="0" collapsed="false">
      <c r="A3" s="31" t="s">
        <v>100</v>
      </c>
    </row>
    <row r="4" customFormat="false" ht="23.85" hidden="false" customHeight="false" outlineLevel="0" collapsed="false">
      <c r="A4" s="31" t="s">
        <v>101</v>
      </c>
    </row>
    <row r="5" customFormat="false" ht="23.85" hidden="false" customHeight="false" outlineLevel="0" collapsed="false">
      <c r="A5" s="31" t="s">
        <v>102</v>
      </c>
    </row>
    <row r="6" customFormat="false" ht="23.85" hidden="false" customHeight="false" outlineLevel="0" collapsed="false">
      <c r="A6" s="31" t="s">
        <v>103</v>
      </c>
    </row>
    <row r="7" customFormat="false" ht="15" hidden="false" customHeight="false" outlineLevel="0" collapsed="false">
      <c r="A7" s="31" t="s">
        <v>104</v>
      </c>
    </row>
    <row r="8" customFormat="false" ht="23.85" hidden="false" customHeight="false" outlineLevel="0" collapsed="false">
      <c r="A8" s="31" t="s">
        <v>105</v>
      </c>
    </row>
    <row r="9" customFormat="false" ht="15" hidden="false" customHeight="false" outlineLevel="0" collapsed="false">
      <c r="A9" s="31" t="s">
        <v>106</v>
      </c>
    </row>
    <row r="10" customFormat="false" ht="15" hidden="false" customHeight="false" outlineLevel="0" collapsed="false">
      <c r="A10" s="31"/>
    </row>
    <row r="11" customFormat="false" ht="15" hidden="false" customHeight="false" outlineLevel="0" collapsed="false">
      <c r="A11" s="32" t="s">
        <v>107</v>
      </c>
    </row>
    <row r="12" customFormat="false" ht="15" hidden="false" customHeight="false" outlineLevel="0" collapsed="false">
      <c r="A12" s="31" t="s">
        <v>108</v>
      </c>
    </row>
    <row r="13" customFormat="false" ht="15" hidden="false" customHeight="false" outlineLevel="0" collapsed="false">
      <c r="A13" s="31" t="s">
        <v>109</v>
      </c>
    </row>
    <row r="14" customFormat="false" ht="15" hidden="false" customHeight="false" outlineLevel="0" collapsed="false">
      <c r="A14" s="31"/>
    </row>
    <row r="15" customFormat="false" ht="23.85" hidden="false" customHeight="false" outlineLevel="0" collapsed="false">
      <c r="A15" s="31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2026-10-08T18:55:30Z</dcterms:created>
  <dc:creator>openpyxl</dc:creator>
  <dc:description/>
  <dc:language>en-US</dc:language>
  <cp:lastModifiedBy/>
  <dcterms:modified xsi:type="dcterms:W3CDTF">2026-10-08T18:55:30Z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