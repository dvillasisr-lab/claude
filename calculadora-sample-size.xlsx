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a" sheetId="1" state="visible" r:id="rId3"/>
    <sheet name="Tabla_n" sheetId="2" state="visible" r:id="rId4"/>
    <sheet name="Instruccion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<sst xmlns="http://schemas.openxmlformats.org/spreadsheetml/2006/main" count="100" uniqueCount="94">
  <si>
    <t xml:space="preserve">Calculadora de sample size y poder: experimento de crédito por score</t>
  </si>
  <si>
    <t xml:space="preserve">Celdas azules con fondo amarillo = edítalas con tu data. Todo lo demás son fórmulas. Los valores actuales son EJEMPLOS, reemplázalos.</t>
  </si>
  <si>
    <t xml:space="preserve">PARÁMETROS GENERALES</t>
  </si>
  <si>
    <t xml:space="preserve">Valor</t>
  </si>
  <si>
    <t xml:space="preserve">Qué es</t>
  </si>
  <si>
    <t xml:space="preserve">Alpha (riesgo de falso positivo)</t>
  </si>
  <si>
    <t xml:space="preserve">Estándar 0.05.</t>
  </si>
  <si>
    <t xml:space="preserve">Poder estadístico</t>
  </si>
  <si>
    <t xml:space="preserve">Estándar 0.80 (80% de detectar un efecto real).</t>
  </si>
  <si>
    <t xml:space="preserve">Número de comparaciones (tiers probados)</t>
  </si>
  <si>
    <t xml:space="preserve">3 si pruebas Excelente, Bueno y Bajo. Pon 1 si pruebas solo uno.</t>
  </si>
  <si>
    <t xml:space="preserve">Pérdidas / inactivos extra</t>
  </si>
  <si>
    <t xml:space="preserve">Se suma a n para cubrir quienes no activan o salen. Ej. 5%.</t>
  </si>
  <si>
    <t xml:space="preserve">Alpha ajustado (Bonferroni)</t>
  </si>
  <si>
    <t xml:space="preserve">Alpha / número de comparaciones.</t>
  </si>
  <si>
    <t xml:space="preserve">z de alpha</t>
  </si>
  <si>
    <t xml:space="preserve">Valor crítico de la normal para el alpha ajustado (dos colas).</t>
  </si>
  <si>
    <t xml:space="preserve">z de poder</t>
  </si>
  <si>
    <t xml:space="preserve">Valor de la normal para el poder elegido.</t>
  </si>
  <si>
    <t xml:space="preserve">DATOS POR TIER (tú los llenas)</t>
  </si>
  <si>
    <t xml:space="preserve">Excelente</t>
  </si>
  <si>
    <t xml:space="preserve">Bueno</t>
  </si>
  <si>
    <t xml:space="preserve">Bajo</t>
  </si>
  <si>
    <t xml:space="preserve">Qué poner</t>
  </si>
  <si>
    <t xml:space="preserve">Crédito nuevo (MXN)</t>
  </si>
  <si>
    <t xml:space="preserve">Lo que recibirá el tier en el experimento. Hoy todos tienen 500.</t>
  </si>
  <si>
    <t xml:space="preserve">Referidores totales en el tier (pool)</t>
  </si>
  <si>
    <t xml:space="preserve">Todos los referidores disponibles del tier. Se divide 50/50 entre tratamiento y control.</t>
  </si>
  <si>
    <t xml:space="preserve">Loans nuevos al mes del tier (con 500 MXN)</t>
  </si>
  <si>
    <t xml:space="preserve">Referidos que obtuvieron loan en el último mes en ese tier. Dato del programa actual.</t>
  </si>
  <si>
    <t xml:space="preserve">Meses de ventana de medición</t>
  </si>
  <si>
    <t xml:space="preserve">Cuánto tiempo mides a cada usuario. Más meses = tasa más alta = menos usuarios necesarios.</t>
  </si>
  <si>
    <t xml:space="preserve">Lift relativo esperado entre quienes usan el crédito</t>
  </si>
  <si>
    <t xml:space="preserve">Cuánto crees que cambia la tasa. Positivo si el crédito sube, negativo si baja (Bajo).</t>
  </si>
  <si>
    <t xml:space="preserve">Take-up (% que usa el crédito)</t>
  </si>
  <si>
    <t xml:space="preserve">% de quienes reciben el crédito que realmente lo usa. Diluye el efecto.</t>
  </si>
  <si>
    <t xml:space="preserve">RESULTADOS</t>
  </si>
  <si>
    <t xml:space="preserve">Cómo leerlo</t>
  </si>
  <si>
    <t xml:space="preserve">Tasa base mensual (loans / pool)</t>
  </si>
  <si>
    <t xml:space="preserve">Aproximación: asume 1 loan por referidor al mes.</t>
  </si>
  <si>
    <t xml:space="preserve">Tasa base en la ventana (p1)</t>
  </si>
  <si>
    <t xml:space="preserve">Probabilidad de que un referidor traiga un loan en toda la ventana.</t>
  </si>
  <si>
    <t xml:space="preserve">Lift efectivo en todo el grupo (ITT)</t>
  </si>
  <si>
    <t xml:space="preserve">Lift relativo × take-up. Es el efecto que de verdad se mide.</t>
  </si>
  <si>
    <t xml:space="preserve">Tasa esperada con tratamiento (p2)</t>
  </si>
  <si>
    <t xml:space="preserve">Tasa base ajustada por el lift efectivo.</t>
  </si>
  <si>
    <t xml:space="preserve">n requerido por brazo</t>
  </si>
  <si>
    <t xml:space="preserve">Usuarios por brazo (tratamiento o control) para detectar el lift con el poder elegido.</t>
  </si>
  <si>
    <t xml:space="preserve">n por brazo con pérdidas</t>
  </si>
  <si>
    <t xml:space="preserve">n requerido más el margen de pérdidas.</t>
  </si>
  <si>
    <t xml:space="preserve">Total de usuarios necesarios en el tier (2 brazos)</t>
  </si>
  <si>
    <t xml:space="preserve">Lo que necesitas en el pool del tier.</t>
  </si>
  <si>
    <t xml:space="preserve">Disponible por brazo (pool / 2)</t>
  </si>
  <si>
    <t xml:space="preserve">Lo que tienes si divides el pool 50/50.</t>
  </si>
  <si>
    <t xml:space="preserve">¿Alcanza?</t>
  </si>
  <si>
    <t xml:space="preserve">SÍ = tienes suficientes usuarios para el lift esperado.</t>
  </si>
  <si>
    <t xml:space="preserve">Poder real con lo disponible</t>
  </si>
  <si>
    <t xml:space="preserve">Probabilidad de detectar el lift esperado con tus usuarios. Busca 80% o más.</t>
  </si>
  <si>
    <t xml:space="preserve">Efecto mínimo detectable relativo (todo el grupo)</t>
  </si>
  <si>
    <t xml:space="preserve">Con lo disponible, solo detectas cambios de este tamaño o mayores en la tasa base.</t>
  </si>
  <si>
    <t xml:space="preserve">Efecto mínimo detectable entre quienes usan el crédito</t>
  </si>
  <si>
    <t xml:space="preserve">Lo mismo, pero corregido por take-up. Compáralo con el lift que esperas.</t>
  </si>
  <si>
    <t xml:space="preserve">CÁLCULO AUXILIAR (no editar)</t>
  </si>
  <si>
    <t xml:space="preserve">Para qué sirve</t>
  </si>
  <si>
    <t xml:space="preserve">Referidores por brazo disponibles</t>
  </si>
  <si>
    <t xml:space="preserve">Para calcular el efecto mínimo detectable.</t>
  </si>
  <si>
    <t xml:space="preserve">n efectivo por brazo (con pérdidas)</t>
  </si>
  <si>
    <t xml:space="preserve">Disponible por brazo menos pérdidas.</t>
  </si>
  <si>
    <t xml:space="preserve">Iteración 0 del efecto mínimo (pp)</t>
  </si>
  <si>
    <t xml:space="preserve">Aproximación inicial.</t>
  </si>
  <si>
    <t xml:space="preserve">Iteración 1</t>
  </si>
  <si>
    <t xml:space="preserve">Se refina con la varianza real de ambos brazos.</t>
  </si>
  <si>
    <t xml:space="preserve">Iteración 2</t>
  </si>
  <si>
    <t xml:space="preserve">Iteración 3</t>
  </si>
  <si>
    <t xml:space="preserve">Iteración 4 = efecto mínimo detectable (pp absolutos)</t>
  </si>
  <si>
    <t xml:space="preserve">Converge en 4 pasos.</t>
  </si>
  <si>
    <t xml:space="preserve">Supuestos: prueba de dos proporciones, dos colas, 50/50 entre tratamiento y control, aproximación normal. La tasa base mensual asume 1 loan por referidor; si hay referidores con varios loans, la tasa real es menor. Tasa acumulada = 1-(1-p)^meses asume meses independientes (en la práctica es algo menor).</t>
  </si>
  <si>
    <t xml:space="preserve">Usuarios necesarios por brazo según tasa base y lift</t>
  </si>
  <si>
    <t xml:space="preserve">Usa el alpha, poder y comparaciones de la hoja Calculadora. Edita los valores azules para cambiar la rejilla.</t>
  </si>
  <si>
    <t xml:space="preserve">Take-up para esta tabla</t>
  </si>
  <si>
    <t xml:space="preserve">100% = todos usan el crédito. Baja el valor para ver el efecto de la dilución.</t>
  </si>
  <si>
    <t xml:space="preserve">Tasa base \ Lift relativo entre quienes usan</t>
  </si>
  <si>
    <t xml:space="preserve">Cada celda = usuarios por brazo (tratamiento o control), sin margen de pérdidas. Multiplica por 2 para el total del tier.</t>
  </si>
  <si>
    <t xml:space="preserve">Cómo usar esta hoja (2 minutos)</t>
  </si>
  <si>
    <t xml:space="preserve">1. En la hoja Calculadora, cambia las celdas azules con fondo amarillo. Los números actuales son ejemplos.</t>
  </si>
  <si>
    <t xml:space="preserve">2. Parámetros generales: deja alpha 0.05 y poder 0.80 salvo que tengas otra regla. Pon en comparaciones cuántos tiers pruebas (3 si Excelente, Bueno y Bajo).</t>
  </si>
  <si>
    <t xml:space="preserve">3. Por tier: pool de referidores, loans nuevos al mes con 500 MXN, meses de ventana, lift esperado y take-up.</t>
  </si>
  <si>
    <t xml:space="preserve">4. Lee la fila 'n por brazo con pérdidas' (cuántos necesitas) contra 'Disponible por brazo' (cuántos tienes). La fila '¿Alcanza?' lo resume.</t>
  </si>
  <si>
    <t xml:space="preserve">5. Si dice NO, mira 'Efecto mínimo detectable' (lo más chico que sí verías) y prueba: más meses de ventana, menos tiers, o más pool.</t>
  </si>
  <si>
    <t xml:space="preserve">6. La hoja Tabla_n da una rejilla de referencia: usuarios por brazo para cada tasa base y lift.</t>
  </si>
  <si>
    <t xml:space="preserve">De dónde sale cada dato:</t>
  </si>
  <si>
    <t xml:space="preserve">Pool: referidores activos del tier. Loans al mes: referidos con loan del tier en el último mes. Lift: tu hipótesis (qué mejora justificaría pagar más crédito).</t>
  </si>
  <si>
    <t xml:space="preserve">Take-up: de los que reciben el crédito, % que realmente lo usa. Si no lo tienes, prueba 100%, 60% y 40% para ver la sensibilidad.</t>
  </si>
  <si>
    <t xml:space="preserve">Nota: el tier Regular no cambia (se queda en 500), por eso no entra a la calculadora. Se usa como referencia de tendencia, no como control de los demás tiers.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</si>
</sst>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0.00"/>
    <numFmt numFmtId="167" formatCode="0"/>
    <numFmt numFmtId="168" formatCode="0.0%"/>
    <numFmt numFmtId="169" formatCode="0.0000"/>
    <numFmt numFmtId="170" formatCode="#,##0"/>
    <numFmt numFmtId="171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4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5" t="s">
        <v>3</v>
      </c>
      <c r="C4" s="5"/>
      <c r="D4" s="5"/>
      <c r="E4" s="5" t="s">
        <v>4</v>
      </c>
      <c r="F4" s="2"/>
    </row>
    <row r="5" customFormat="false" ht="15" hidden="false" customHeight="false" outlineLevel="0" collapsed="false">
      <c r="A5" s="6" t="s">
        <v>5</v>
      </c>
      <c r="B5" s="7" t="n">
        <v>0.05</v>
      </c>
      <c r="C5" s="2"/>
      <c r="D5" s="2"/>
      <c r="E5" s="8" t="s">
        <v>6</v>
      </c>
      <c r="F5" s="2"/>
    </row>
    <row r="6" customFormat="false" ht="15" hidden="false" customHeight="false" outlineLevel="0" collapsed="false">
      <c r="A6" s="6" t="s">
        <v>7</v>
      </c>
      <c r="B6" s="9" t="n">
        <v>0.8</v>
      </c>
      <c r="C6" s="2"/>
      <c r="D6" s="2"/>
      <c r="E6" s="8" t="s">
        <v>8</v>
      </c>
      <c r="F6" s="2"/>
    </row>
    <row r="7" customFormat="false" ht="15" hidden="false" customHeight="false" outlineLevel="0" collapsed="false">
      <c r="A7" s="6" t="s">
        <v>9</v>
      </c>
      <c r="B7" s="10" t="n">
        <v>3</v>
      </c>
      <c r="C7" s="2"/>
      <c r="D7" s="2"/>
      <c r="E7" s="8" t="s">
        <v>10</v>
      </c>
      <c r="F7" s="2"/>
    </row>
    <row r="8" customFormat="false" ht="15" hidden="false" customHeight="false" outlineLevel="0" collapsed="false">
      <c r="A8" s="6" t="s">
        <v>11</v>
      </c>
      <c r="B8" s="11" t="n">
        <v>0.05</v>
      </c>
      <c r="C8" s="2"/>
      <c r="D8" s="2"/>
      <c r="E8" s="8" t="s">
        <v>12</v>
      </c>
      <c r="F8" s="2"/>
    </row>
    <row r="9" customFormat="false" ht="15" hidden="false" customHeight="false" outlineLevel="0" collapsed="false">
      <c r="A9" s="6" t="s">
        <v>13</v>
      </c>
      <c r="B9" s="12" t="n">
        <f aca="false">B5/B7</f>
        <v>0.0166666666666667</v>
      </c>
      <c r="C9" s="2"/>
      <c r="D9" s="2"/>
      <c r="E9" s="8" t="s">
        <v>14</v>
      </c>
      <c r="F9" s="2"/>
    </row>
    <row r="10" customFormat="false" ht="15" hidden="false" customHeight="false" outlineLevel="0" collapsed="false">
      <c r="A10" s="6" t="s">
        <v>15</v>
      </c>
      <c r="B10" s="13" t="n">
        <f aca="false">NORMSINV(1-B9/2)</f>
        <v>2.39397979981851</v>
      </c>
      <c r="C10" s="2"/>
      <c r="D10" s="2"/>
      <c r="E10" s="8" t="s">
        <v>16</v>
      </c>
      <c r="F10" s="2"/>
    </row>
    <row r="11" customFormat="false" ht="15" hidden="false" customHeight="false" outlineLevel="0" collapsed="false">
      <c r="A11" s="6" t="s">
        <v>17</v>
      </c>
      <c r="B11" s="13" t="n">
        <f aca="false">NORMSINV(B6)</f>
        <v>0.841621233572914</v>
      </c>
      <c r="C11" s="2"/>
      <c r="D11" s="2"/>
      <c r="E11" s="8" t="s">
        <v>18</v>
      </c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4" t="s">
        <v>19</v>
      </c>
      <c r="B13" s="5" t="s">
        <v>20</v>
      </c>
      <c r="C13" s="5" t="s">
        <v>21</v>
      </c>
      <c r="D13" s="5" t="s">
        <v>22</v>
      </c>
      <c r="E13" s="5" t="s">
        <v>23</v>
      </c>
      <c r="F13" s="2"/>
    </row>
    <row r="14" customFormat="false" ht="15" hidden="false" customHeight="false" outlineLevel="0" collapsed="false">
      <c r="A14" s="6" t="s">
        <v>24</v>
      </c>
      <c r="B14" s="14" t="n">
        <v>1000</v>
      </c>
      <c r="C14" s="14" t="n">
        <v>750</v>
      </c>
      <c r="D14" s="14" t="n">
        <v>250</v>
      </c>
      <c r="E14" s="8" t="s">
        <v>25</v>
      </c>
      <c r="F14" s="2"/>
    </row>
    <row r="15" customFormat="false" ht="15" hidden="false" customHeight="false" outlineLevel="0" collapsed="false">
      <c r="A15" s="6" t="s">
        <v>26</v>
      </c>
      <c r="B15" s="14" t="n">
        <v>10000</v>
      </c>
      <c r="C15" s="14" t="n">
        <v>10000</v>
      </c>
      <c r="D15" s="14" t="n">
        <v>10000</v>
      </c>
      <c r="E15" s="8" t="s">
        <v>27</v>
      </c>
      <c r="F15" s="2"/>
    </row>
    <row r="16" customFormat="false" ht="15" hidden="false" customHeight="false" outlineLevel="0" collapsed="false">
      <c r="A16" s="6" t="s">
        <v>28</v>
      </c>
      <c r="B16" s="14" t="n">
        <v>1000</v>
      </c>
      <c r="C16" s="14" t="n">
        <v>1000</v>
      </c>
      <c r="D16" s="14" t="n">
        <v>1000</v>
      </c>
      <c r="E16" s="8" t="s">
        <v>29</v>
      </c>
      <c r="F16" s="2"/>
    </row>
    <row r="17" customFormat="false" ht="22.35" hidden="false" customHeight="false" outlineLevel="0" collapsed="false">
      <c r="A17" s="6" t="s">
        <v>30</v>
      </c>
      <c r="B17" s="10" t="n">
        <v>1</v>
      </c>
      <c r="C17" s="10" t="n">
        <v>1</v>
      </c>
      <c r="D17" s="10" t="n">
        <v>1</v>
      </c>
      <c r="E17" s="8" t="s">
        <v>31</v>
      </c>
      <c r="F17" s="2"/>
    </row>
    <row r="18" customFormat="false" ht="15" hidden="false" customHeight="false" outlineLevel="0" collapsed="false">
      <c r="A18" s="6" t="s">
        <v>32</v>
      </c>
      <c r="B18" s="11" t="n">
        <v>0.3</v>
      </c>
      <c r="C18" s="11" t="n">
        <v>0.15</v>
      </c>
      <c r="D18" s="11" t="n">
        <v>-0.15</v>
      </c>
      <c r="E18" s="8" t="s">
        <v>33</v>
      </c>
      <c r="F18" s="2"/>
    </row>
    <row r="19" customFormat="false" ht="15" hidden="false" customHeight="false" outlineLevel="0" collapsed="false">
      <c r="A19" s="6" t="s">
        <v>34</v>
      </c>
      <c r="B19" s="11" t="n">
        <v>0.6</v>
      </c>
      <c r="C19" s="11" t="n">
        <v>0.6</v>
      </c>
      <c r="D19" s="11" t="n">
        <v>0.6</v>
      </c>
      <c r="E19" s="8" t="s">
        <v>35</v>
      </c>
      <c r="F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4" t="s">
        <v>36</v>
      </c>
      <c r="B21" s="5" t="s">
        <v>20</v>
      </c>
      <c r="C21" s="5" t="s">
        <v>21</v>
      </c>
      <c r="D21" s="5" t="s">
        <v>22</v>
      </c>
      <c r="E21" s="5" t="s">
        <v>37</v>
      </c>
      <c r="F21" s="2"/>
    </row>
    <row r="22" customFormat="false" ht="15" hidden="false" customHeight="false" outlineLevel="0" collapsed="false">
      <c r="A22" s="6" t="s">
        <v>38</v>
      </c>
      <c r="B22" s="15" t="n">
        <f aca="false">B16/B15</f>
        <v>0.1</v>
      </c>
      <c r="C22" s="15" t="n">
        <f aca="false">C16/C15</f>
        <v>0.1</v>
      </c>
      <c r="D22" s="15" t="n">
        <f aca="false">D16/D15</f>
        <v>0.1</v>
      </c>
      <c r="E22" s="8" t="s">
        <v>39</v>
      </c>
      <c r="F22" s="2"/>
    </row>
    <row r="23" customFormat="false" ht="15" hidden="false" customHeight="false" outlineLevel="0" collapsed="false">
      <c r="A23" s="6" t="s">
        <v>40</v>
      </c>
      <c r="B23" s="15" t="n">
        <f aca="false">1-(1-B22)^B17</f>
        <v>0.1</v>
      </c>
      <c r="C23" s="15" t="n">
        <f aca="false">1-(1-C22)^C17</f>
        <v>0.1</v>
      </c>
      <c r="D23" s="15" t="n">
        <f aca="false">1-(1-D22)^D17</f>
        <v>0.1</v>
      </c>
      <c r="E23" s="8" t="s">
        <v>41</v>
      </c>
      <c r="F23" s="2"/>
    </row>
    <row r="24" customFormat="false" ht="15" hidden="false" customHeight="false" outlineLevel="0" collapsed="false">
      <c r="A24" s="6" t="s">
        <v>42</v>
      </c>
      <c r="B24" s="16" t="n">
        <f aca="false">B18*B19</f>
        <v>0.18</v>
      </c>
      <c r="C24" s="16" t="n">
        <f aca="false">C18*C19</f>
        <v>0.09</v>
      </c>
      <c r="D24" s="16" t="n">
        <f aca="false">D18*D19</f>
        <v>-0.09</v>
      </c>
      <c r="E24" s="8" t="s">
        <v>43</v>
      </c>
      <c r="F24" s="2"/>
    </row>
    <row r="25" customFormat="false" ht="15" hidden="false" customHeight="false" outlineLevel="0" collapsed="false">
      <c r="A25" s="6" t="s">
        <v>44</v>
      </c>
      <c r="B25" s="15" t="n">
        <f aca="false">B23*(1+B24)</f>
        <v>0.118</v>
      </c>
      <c r="C25" s="15" t="n">
        <f aca="false">C23*(1+C24)</f>
        <v>0.109</v>
      </c>
      <c r="D25" s="15" t="n">
        <f aca="false">D23*(1+D24)</f>
        <v>0.091</v>
      </c>
      <c r="E25" s="8" t="s">
        <v>45</v>
      </c>
      <c r="F25" s="2"/>
    </row>
    <row r="26" customFormat="false" ht="15" hidden="false" customHeight="false" outlineLevel="0" collapsed="false">
      <c r="A26" s="6" t="s">
        <v>46</v>
      </c>
      <c r="B26" s="17" t="n">
        <f aca="false">IF(B24=0,"n/a",ROUNDUP((($B$10*SQRT(2*((B23+B25)/2)*(1-(B23+B25)/2))+$B$11*SQRT(B23*(1-B23)+B25*(1-B25)))^2)/(B25-B23)^2,0))</f>
        <v>6275</v>
      </c>
      <c r="C26" s="17" t="n">
        <f aca="false">IF(C24=0,"n/a",ROUNDUP((($B$10*SQRT(2*((C23+C25)/2)*(1-(C23+C25)/2))+$B$11*SQRT(C23*(1-C23)+C25*(1-C25)))^2)/(C25-C23)^2,0))</f>
        <v>24189</v>
      </c>
      <c r="D26" s="17" t="n">
        <f aca="false">IF(D24=0,"n/a",ROUNDUP((($B$10*SQRT(2*((D23+D25)/2)*(1-(D23+D25)/2))+$B$11*SQRT(D23*(1-D23)+D25*(1-D25)))^2)/(D25-D23)^2,0))</f>
        <v>22328</v>
      </c>
      <c r="E26" s="8" t="s">
        <v>47</v>
      </c>
      <c r="F26" s="2"/>
    </row>
    <row r="27" customFormat="false" ht="15" hidden="false" customHeight="false" outlineLevel="0" collapsed="false">
      <c r="A27" s="6" t="s">
        <v>48</v>
      </c>
      <c r="B27" s="18" t="n">
        <f aca="false">IF(ISNUMBER(B26),ROUNDUP(B26/(1-$B$8),0),"n/a")</f>
        <v>6606</v>
      </c>
      <c r="C27" s="18" t="n">
        <f aca="false">IF(ISNUMBER(C26),ROUNDUP(C26/(1-$B$8),0),"n/a")</f>
        <v>25463</v>
      </c>
      <c r="D27" s="18" t="n">
        <f aca="false">IF(ISNUMBER(D26),ROUNDUP(D26/(1-$B$8),0),"n/a")</f>
        <v>23504</v>
      </c>
      <c r="E27" s="8" t="s">
        <v>49</v>
      </c>
      <c r="F27" s="2"/>
    </row>
    <row r="28" customFormat="false" ht="15" hidden="false" customHeight="false" outlineLevel="0" collapsed="false">
      <c r="A28" s="6" t="s">
        <v>50</v>
      </c>
      <c r="B28" s="17" t="n">
        <f aca="false">IF(ISNUMBER(B27),B27*2,"n/a")</f>
        <v>13212</v>
      </c>
      <c r="C28" s="17" t="n">
        <f aca="false">IF(ISNUMBER(C27),C27*2,"n/a")</f>
        <v>50926</v>
      </c>
      <c r="D28" s="17" t="n">
        <f aca="false">IF(ISNUMBER(D27),D27*2,"n/a")</f>
        <v>47008</v>
      </c>
      <c r="E28" s="8" t="s">
        <v>51</v>
      </c>
      <c r="F28" s="2"/>
    </row>
    <row r="29" customFormat="false" ht="15" hidden="false" customHeight="false" outlineLevel="0" collapsed="false">
      <c r="A29" s="6" t="s">
        <v>52</v>
      </c>
      <c r="B29" s="18" t="n">
        <f aca="false">B15/2</f>
        <v>5000</v>
      </c>
      <c r="C29" s="18" t="n">
        <f aca="false">C15/2</f>
        <v>5000</v>
      </c>
      <c r="D29" s="18" t="n">
        <f aca="false">D15/2</f>
        <v>5000</v>
      </c>
      <c r="E29" s="8" t="s">
        <v>53</v>
      </c>
      <c r="F29" s="2"/>
    </row>
    <row r="30" customFormat="false" ht="15" hidden="false" customHeight="false" outlineLevel="0" collapsed="false">
      <c r="A30" s="6" t="s">
        <v>54</v>
      </c>
      <c r="B30" s="19" t="str">
        <f aca="false">IF(ISNUMBER(B27),IF(B29&gt;=B27,"SÍ","NO"),"n/a")</f>
        <v>NO</v>
      </c>
      <c r="C30" s="19" t="str">
        <f aca="false">IF(ISNUMBER(C27),IF(C29&gt;=C27,"SÍ","NO"),"n/a")</f>
        <v>NO</v>
      </c>
      <c r="D30" s="19" t="str">
        <f aca="false">IF(ISNUMBER(D27),IF(D29&gt;=D27,"SÍ","NO"),"n/a")</f>
        <v>NO</v>
      </c>
      <c r="E30" s="8" t="s">
        <v>55</v>
      </c>
      <c r="F30" s="2"/>
    </row>
    <row r="31" customFormat="false" ht="15" hidden="false" customHeight="false" outlineLevel="0" collapsed="false">
      <c r="A31" s="6" t="s">
        <v>56</v>
      </c>
      <c r="B31" s="20" t="n">
        <f aca="false">NORMSDIST((ABS(B25-B23)*SQRT(B38)-$B$10*SQRT(2*((B23+B25)/2)*(1-(B23+B25)/2)))/SQRT(B23*(1-B23)+B25*(1-B25)))</f>
        <v>0.663131977553076</v>
      </c>
      <c r="C31" s="20" t="n">
        <f aca="false">NORMSDIST((ABS(C25-C23)*SQRT(C38)-$B$10*SQRT(2*((C23+C25)/2)*(1-(C23+C25)/2)))/SQRT(C23*(1-C23)+C25*(1-C25)))</f>
        <v>0.168451905196954</v>
      </c>
      <c r="D31" s="20" t="n">
        <f aca="false">NORMSDIST((ABS(D25-D23)*SQRT(D38)-$B$10*SQRT(2*((D23+D25)/2)*(1-(D23+D25)/2)))/SQRT(D23*(1-D23)+D25*(1-D25)))</f>
        <v>0.183596553398769</v>
      </c>
      <c r="E31" s="8" t="s">
        <v>57</v>
      </c>
      <c r="F31" s="2"/>
    </row>
    <row r="32" customFormat="false" ht="15" hidden="false" customHeight="false" outlineLevel="0" collapsed="false">
      <c r="A32" s="6" t="s">
        <v>58</v>
      </c>
      <c r="B32" s="16" t="n">
        <f aca="false">B43/B23</f>
        <v>0.20803969230822</v>
      </c>
      <c r="C32" s="16" t="n">
        <f aca="false">C43/C23</f>
        <v>0.20803969230822</v>
      </c>
      <c r="D32" s="16" t="n">
        <f aca="false">D43/D23</f>
        <v>0.20803969230822</v>
      </c>
      <c r="E32" s="8" t="s">
        <v>59</v>
      </c>
      <c r="F32" s="2"/>
    </row>
    <row r="33" customFormat="false" ht="15" hidden="false" customHeight="false" outlineLevel="0" collapsed="false">
      <c r="A33" s="6" t="s">
        <v>60</v>
      </c>
      <c r="B33" s="16" t="n">
        <f aca="false">B32/B19</f>
        <v>0.3467328205137</v>
      </c>
      <c r="C33" s="16" t="n">
        <f aca="false">C32/C19</f>
        <v>0.3467328205137</v>
      </c>
      <c r="D33" s="16" t="n">
        <f aca="false">D32/D19</f>
        <v>0.3467328205137</v>
      </c>
      <c r="E33" s="8" t="s">
        <v>61</v>
      </c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4" t="s">
        <v>62</v>
      </c>
      <c r="B36" s="5" t="s">
        <v>20</v>
      </c>
      <c r="C36" s="5" t="s">
        <v>21</v>
      </c>
      <c r="D36" s="5" t="s">
        <v>22</v>
      </c>
      <c r="E36" s="5" t="s">
        <v>63</v>
      </c>
      <c r="F36" s="2"/>
    </row>
    <row r="37" customFormat="false" ht="15" hidden="false" customHeight="false" outlineLevel="0" collapsed="false">
      <c r="A37" s="6" t="s">
        <v>64</v>
      </c>
      <c r="B37" s="18" t="n">
        <f aca="false">B29</f>
        <v>5000</v>
      </c>
      <c r="C37" s="18" t="n">
        <f aca="false">C29</f>
        <v>5000</v>
      </c>
      <c r="D37" s="18" t="n">
        <f aca="false">D29</f>
        <v>5000</v>
      </c>
      <c r="E37" s="8" t="s">
        <v>65</v>
      </c>
      <c r="F37" s="2"/>
    </row>
    <row r="38" customFormat="false" ht="15" hidden="false" customHeight="false" outlineLevel="0" collapsed="false">
      <c r="A38" s="6" t="s">
        <v>66</v>
      </c>
      <c r="B38" s="18" t="n">
        <f aca="false">B37*(1-$B$8)</f>
        <v>4750</v>
      </c>
      <c r="C38" s="18" t="n">
        <f aca="false">C37*(1-$B$8)</f>
        <v>4750</v>
      </c>
      <c r="D38" s="18" t="n">
        <f aca="false">D37*(1-$B$8)</f>
        <v>4750</v>
      </c>
      <c r="E38" s="8" t="s">
        <v>67</v>
      </c>
      <c r="F38" s="2"/>
    </row>
    <row r="39" customFormat="false" ht="15" hidden="false" customHeight="false" outlineLevel="0" collapsed="false">
      <c r="A39" s="6" t="s">
        <v>68</v>
      </c>
      <c r="B39" s="12" t="n">
        <f aca="false">($B$10+$B$11)*SQRT(2*B23*(1-B23)/B38)</f>
        <v>0.0199179396974637</v>
      </c>
      <c r="C39" s="12" t="n">
        <f aca="false">($B$10+$B$11)*SQRT(2*C23*(1-C23)/C38)</f>
        <v>0.0199179396974637</v>
      </c>
      <c r="D39" s="12" t="n">
        <f aca="false">($B$10+$B$11)*SQRT(2*D23*(1-D23)/D38)</f>
        <v>0.0199179396974637</v>
      </c>
      <c r="E39" s="8" t="s">
        <v>69</v>
      </c>
      <c r="F39" s="2"/>
    </row>
    <row r="40" customFormat="false" ht="15" hidden="false" customHeight="false" outlineLevel="0" collapsed="false">
      <c r="A40" s="6" t="s">
        <v>70</v>
      </c>
      <c r="B40" s="12" t="n">
        <f aca="false">($B$10*SQRT(2*(B23+B39/2)*(1-B23-B39/2))+$B$11*SQRT(B23*(1-B23)+(B23+B39)*(1-B23-B39)))/SQRT(B38)</f>
        <v>0.020767596860278</v>
      </c>
      <c r="C40" s="12" t="n">
        <f aca="false">($B$10*SQRT(2*(C23+C39/2)*(1-C23-C39/2))+$B$11*SQRT(C23*(1-C23)+(C23+C39)*(1-C23-C39)))/SQRT(C38)</f>
        <v>0.020767596860278</v>
      </c>
      <c r="D40" s="12" t="n">
        <f aca="false">($B$10*SQRT(2*(D23+D39/2)*(1-D23-D39/2))+$B$11*SQRT(D23*(1-D23)+(D23+D39)*(1-D23-D39)))/SQRT(D38)</f>
        <v>0.020767596860278</v>
      </c>
      <c r="E40" s="8" t="s">
        <v>71</v>
      </c>
      <c r="F40" s="2"/>
    </row>
    <row r="41" customFormat="false" ht="15" hidden="false" customHeight="false" outlineLevel="0" collapsed="false">
      <c r="A41" s="6" t="s">
        <v>72</v>
      </c>
      <c r="B41" s="12" t="n">
        <f aca="false">($B$10*SQRT(2*(B23+B40/2)*(1-B23-B40/2))+$B$11*SQRT(B23*(1-B23)+(B23+B40)*(1-B23-B40)))/SQRT(B38)</f>
        <v>0.0208024806971357</v>
      </c>
      <c r="C41" s="12" t="n">
        <f aca="false">($B$10*SQRT(2*(C23+C40/2)*(1-C23-C40/2))+$B$11*SQRT(C23*(1-C23)+(C23+C40)*(1-C23-C40)))/SQRT(C38)</f>
        <v>0.0208024806971357</v>
      </c>
      <c r="D41" s="12" t="n">
        <f aca="false">($B$10*SQRT(2*(D23+D40/2)*(1-D23-D40/2))+$B$11*SQRT(D23*(1-D23)+(D23+D40)*(1-D23-D40)))/SQRT(D38)</f>
        <v>0.0208024806971357</v>
      </c>
      <c r="E41" s="2"/>
      <c r="F41" s="2"/>
    </row>
    <row r="42" customFormat="false" ht="15" hidden="false" customHeight="false" outlineLevel="0" collapsed="false">
      <c r="A42" s="6" t="s">
        <v>73</v>
      </c>
      <c r="B42" s="12" t="n">
        <f aca="false">($B$10*SQRT(2*(B23+B41/2)*(1-B23-B41/2))+$B$11*SQRT(B23*(1-B23)+(B23+B41)*(1-B23-B41)))/SQRT(B38)</f>
        <v>0.020803910620651</v>
      </c>
      <c r="C42" s="12" t="n">
        <f aca="false">($B$10*SQRT(2*(C23+C41/2)*(1-C23-C41/2))+$B$11*SQRT(C23*(1-C23)+(C23+C41)*(1-C23-C41)))/SQRT(C38)</f>
        <v>0.020803910620651</v>
      </c>
      <c r="D42" s="12" t="n">
        <f aca="false">($B$10*SQRT(2*(D23+D41/2)*(1-D23-D41/2))+$B$11*SQRT(D23*(1-D23)+(D23+D41)*(1-D23-D41)))/SQRT(D38)</f>
        <v>0.020803910620651</v>
      </c>
      <c r="E42" s="2"/>
      <c r="F42" s="2"/>
    </row>
    <row r="43" customFormat="false" ht="15" hidden="false" customHeight="false" outlineLevel="0" collapsed="false">
      <c r="A43" s="6" t="s">
        <v>74</v>
      </c>
      <c r="B43" s="12" t="n">
        <f aca="false">($B$10*SQRT(2*(B23+B42/2)*(1-B23-B42/2))+$B$11*SQRT(B23*(1-B23)+(B23+B42)*(1-B23-B42)))/SQRT(B38)</f>
        <v>0.020803969230822</v>
      </c>
      <c r="C43" s="12" t="n">
        <f aca="false">($B$10*SQRT(2*(C23+C42/2)*(1-C23-C42/2))+$B$11*SQRT(C23*(1-C23)+(C23+C42)*(1-C23-C42)))/SQRT(C38)</f>
        <v>0.020803969230822</v>
      </c>
      <c r="D43" s="12" t="n">
        <f aca="false">($B$10*SQRT(2*(D23+D42/2)*(1-D23-D42/2))+$B$11*SQRT(D23*(1-D23)+(D23+D42)*(1-D23-D42)))/SQRT(D38)</f>
        <v>0.020803969230822</v>
      </c>
      <c r="E43" s="8" t="s">
        <v>75</v>
      </c>
      <c r="F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</row>
    <row r="45" customFormat="false" ht="30" hidden="false" customHeight="true" outlineLevel="0" collapsed="false">
      <c r="A45" s="21" t="s">
        <v>76</v>
      </c>
      <c r="B45" s="21"/>
      <c r="C45" s="21"/>
      <c r="D45" s="21"/>
      <c r="E45" s="21"/>
      <c r="F45" s="2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</row>
  </sheetData>
  <mergeCells count="1">
    <mergeCell ref="A45:E46"/>
  </mergeCells>
  <conditionalFormatting sqref="B30:D30">
    <cfRule type="cellIs" priority="2" operator="equal" aboveAverage="0" equalAverage="0" bottom="0" percent="0" rank="0" text="" dxfId="0">
      <formula>"SÍ"</formula>
    </cfRule>
    <cfRule type="cellIs" priority="3" operator="equal" aboveAverage="0" equalAverage="0" bottom="0" percent="0" rank="0" text="" dxfId="1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3" t="s">
        <v>78</v>
      </c>
    </row>
    <row r="3" customFormat="false" ht="15" hidden="false" customHeight="false" outlineLevel="0" collapsed="false">
      <c r="A3" s="2" t="s">
        <v>79</v>
      </c>
      <c r="B3" s="11" t="n">
        <v>1</v>
      </c>
      <c r="C3" s="3" t="s">
        <v>80</v>
      </c>
    </row>
    <row r="5" customFormat="false" ht="15" hidden="false" customHeight="false" outlineLevel="0" collapsed="false">
      <c r="A5" s="22" t="s">
        <v>81</v>
      </c>
      <c r="B5" s="23" t="n">
        <v>0.1</v>
      </c>
      <c r="C5" s="23" t="n">
        <v>0.15</v>
      </c>
      <c r="D5" s="23" t="n">
        <v>0.2</v>
      </c>
      <c r="E5" s="23" t="n">
        <v>0.3</v>
      </c>
      <c r="F5" s="23" t="n">
        <v>0.5</v>
      </c>
    </row>
    <row r="6" customFormat="false" ht="15" hidden="false" customHeight="false" outlineLevel="0" collapsed="false">
      <c r="A6" s="23" t="n">
        <v>0.01</v>
      </c>
      <c r="B6" s="18" t="n">
        <f aca="false">ROUNDUP(((Calculadora!$B$10*SQRT(2*(($A6+($A6*(1+B$5*$B$3)))/2)*(1-(($A6+($A6*(1+B$5*$B$3)))/2)))+Calculadora!$B$11*SQRT($A6*(1-$A6)+($A6*(1+B$5*$B$3))*(1-($A6*(1+B$5*$B$3)))))^2)/(($A6*(1+B$5*$B$3))-$A6)^2,0)</f>
        <v>217542</v>
      </c>
      <c r="C6" s="18" t="n">
        <f aca="false">ROUNDUP(((Calculadora!$B$10*SQRT(2*(($A6+($A6*(1+C$5*$B$3)))/2)*(1-(($A6+($A6*(1+C$5*$B$3)))/2)))+Calculadora!$B$11*SQRT($A6*(1-$A6)+($A6*(1+C$5*$B$3))*(1-($A6*(1+C$5*$B$3)))))^2)/(($A6*(1+C$5*$B$3))-$A6)^2,0)</f>
        <v>98962</v>
      </c>
      <c r="D6" s="18" t="n">
        <f aca="false">ROUNDUP(((Calculadora!$B$10*SQRT(2*(($A6+($A6*(1+D$5*$B$3)))/2)*(1-(($A6+($A6*(1+D$5*$B$3)))/2)))+Calculadora!$B$11*SQRT($A6*(1-$A6)+($A6*(1+D$5*$B$3))*(1-($A6*(1+D$5*$B$3)))))^2)/(($A6*(1+D$5*$B$3))-$A6)^2,0)</f>
        <v>56946</v>
      </c>
      <c r="E6" s="18" t="n">
        <f aca="false">ROUNDUP(((Calculadora!$B$10*SQRT(2*(($A6+($A6*(1+E$5*$B$3)))/2)*(1-(($A6+($A6*(1+E$5*$B$3)))/2)))+Calculadora!$B$11*SQRT($A6*(1-$A6)+($A6*(1+E$5*$B$3))*(1-($A6*(1+E$5*$B$3)))))^2)/(($A6*(1+E$5*$B$3))-$A6)^2,0)</f>
        <v>26446</v>
      </c>
      <c r="F6" s="18" t="n">
        <f aca="false">ROUNDUP(((Calculadora!$B$10*SQRT(2*(($A6+($A6*(1+F$5*$B$3)))/2)*(1-(($A6+($A6*(1+F$5*$B$3)))/2)))+Calculadora!$B$11*SQRT($A6*(1-$A6)+($A6*(1+F$5*$B$3))*(1-($A6*(1+F$5*$B$3)))))^2)/(($A6*(1+F$5*$B$3))-$A6)^2,0)</f>
        <v>10337</v>
      </c>
    </row>
    <row r="7" customFormat="false" ht="15" hidden="false" customHeight="false" outlineLevel="0" collapsed="false">
      <c r="A7" s="23" t="n">
        <v>0.02</v>
      </c>
      <c r="B7" s="18" t="n">
        <f aca="false">ROUNDUP(((Calculadora!$B$10*SQRT(2*(($A7+($A7*(1+B$5*$B$3)))/2)*(1-(($A7+($A7*(1+B$5*$B$3)))/2)))+Calculadora!$B$11*SQRT($A7*(1-$A7)+($A7*(1+B$5*$B$3))*(1-($A7*(1+B$5*$B$3)))))^2)/(($A7*(1+B$5*$B$3))-$A7)^2,0)</f>
        <v>107616</v>
      </c>
      <c r="C7" s="18" t="n">
        <f aca="false">ROUNDUP(((Calculadora!$B$10*SQRT(2*(($A7+($A7*(1+C$5*$B$3)))/2)*(1-(($A7+($A7*(1+C$5*$B$3)))/2)))+Calculadora!$B$11*SQRT($A7*(1-$A7)+($A7*(1+C$5*$B$3))*(1-($A7*(1+C$5*$B$3)))))^2)/(($A7*(1+C$5*$B$3))-$A7)^2,0)</f>
        <v>48943</v>
      </c>
      <c r="D7" s="18" t="n">
        <f aca="false">ROUNDUP(((Calculadora!$B$10*SQRT(2*(($A7+($A7*(1+D$5*$B$3)))/2)*(1-(($A7+($A7*(1+D$5*$B$3)))/2)))+Calculadora!$B$11*SQRT($A7*(1-$A7)+($A7*(1+D$5*$B$3))*(1-($A7*(1+D$5*$B$3)))))^2)/(($A7*(1+D$5*$B$3))-$A7)^2,0)</f>
        <v>28156</v>
      </c>
      <c r="E7" s="18" t="n">
        <f aca="false">ROUNDUP(((Calculadora!$B$10*SQRT(2*(($A7+($A7*(1+E$5*$B$3)))/2)*(1-(($A7+($A7*(1+E$5*$B$3)))/2)))+Calculadora!$B$11*SQRT($A7*(1-$A7)+($A7*(1+E$5*$B$3))*(1-($A7*(1+E$5*$B$3)))))^2)/(($A7*(1+E$5*$B$3))-$A7)^2,0)</f>
        <v>13069</v>
      </c>
      <c r="F7" s="18" t="n">
        <f aca="false">ROUNDUP(((Calculadora!$B$10*SQRT(2*(($A7+($A7*(1+F$5*$B$3)))/2)*(1-(($A7+($A7*(1+F$5*$B$3)))/2)))+Calculadora!$B$11*SQRT($A7*(1-$A7)+($A7*(1+F$5*$B$3))*(1-($A7*(1+F$5*$B$3)))))^2)/(($A7*(1+F$5*$B$3))-$A7)^2,0)</f>
        <v>5103</v>
      </c>
    </row>
    <row r="8" customFormat="false" ht="15" hidden="false" customHeight="false" outlineLevel="0" collapsed="false">
      <c r="A8" s="23" t="n">
        <v>0.03</v>
      </c>
      <c r="B8" s="18" t="n">
        <f aca="false">ROUNDUP(((Calculadora!$B$10*SQRT(2*(($A8+($A8*(1+B$5*$B$3)))/2)*(1-(($A8+($A8*(1+B$5*$B$3)))/2)))+Calculadora!$B$11*SQRT($A8*(1-$A8)+($A8*(1+B$5*$B$3))*(1-($A8*(1+B$5*$B$3)))))^2)/(($A8*(1+B$5*$B$3))-$A8)^2,0)</f>
        <v>70974</v>
      </c>
      <c r="C8" s="18" t="n">
        <f aca="false">ROUNDUP(((Calculadora!$B$10*SQRT(2*(($A8+($A8*(1+C$5*$B$3)))/2)*(1-(($A8+($A8*(1+C$5*$B$3)))/2)))+Calculadora!$B$11*SQRT($A8*(1-$A8)+($A8*(1+C$5*$B$3))*(1-($A8*(1+C$5*$B$3)))))^2)/(($A8*(1+C$5*$B$3))-$A8)^2,0)</f>
        <v>32270</v>
      </c>
      <c r="D8" s="18" t="n">
        <f aca="false">ROUNDUP(((Calculadora!$B$10*SQRT(2*(($A8+($A8*(1+D$5*$B$3)))/2)*(1-(($A8+($A8*(1+D$5*$B$3)))/2)))+Calculadora!$B$11*SQRT($A8*(1-$A8)+($A8*(1+D$5*$B$3))*(1-($A8*(1+D$5*$B$3)))))^2)/(($A8*(1+D$5*$B$3))-$A8)^2,0)</f>
        <v>18559</v>
      </c>
      <c r="E8" s="18" t="n">
        <f aca="false">ROUNDUP(((Calculadora!$B$10*SQRT(2*(($A8+($A8*(1+E$5*$B$3)))/2)*(1-(($A8+($A8*(1+E$5*$B$3)))/2)))+Calculadora!$B$11*SQRT($A8*(1-$A8)+($A8*(1+E$5*$B$3))*(1-($A8*(1+E$5*$B$3)))))^2)/(($A8*(1+E$5*$B$3))-$A8)^2,0)</f>
        <v>8610</v>
      </c>
      <c r="F8" s="18" t="n">
        <f aca="false">ROUNDUP(((Calculadora!$B$10*SQRT(2*(($A8+($A8*(1+F$5*$B$3)))/2)*(1-(($A8+($A8*(1+F$5*$B$3)))/2)))+Calculadora!$B$11*SQRT($A8*(1-$A8)+($A8*(1+F$5*$B$3))*(1-($A8*(1+F$5*$B$3)))))^2)/(($A8*(1+F$5*$B$3))-$A8)^2,0)</f>
        <v>3358</v>
      </c>
    </row>
    <row r="9" customFormat="false" ht="15" hidden="false" customHeight="false" outlineLevel="0" collapsed="false">
      <c r="A9" s="23" t="n">
        <v>0.05</v>
      </c>
      <c r="B9" s="18" t="n">
        <f aca="false">ROUNDUP(((Calculadora!$B$10*SQRT(2*(($A9+($A9*(1+B$5*$B$3)))/2)*(1-(($A9+($A9*(1+B$5*$B$3)))/2)))+Calculadora!$B$11*SQRT($A9*(1-$A9)+($A9*(1+B$5*$B$3))*(1-($A9*(1+B$5*$B$3)))))^2)/(($A9*(1+B$5*$B$3))-$A9)^2,0)</f>
        <v>41661</v>
      </c>
      <c r="C9" s="18" t="n">
        <f aca="false">ROUNDUP(((Calculadora!$B$10*SQRT(2*(($A9+($A9*(1+C$5*$B$3)))/2)*(1-(($A9+($A9*(1+C$5*$B$3)))/2)))+Calculadora!$B$11*SQRT($A9*(1-$A9)+($A9*(1+C$5*$B$3))*(1-($A9*(1+C$5*$B$3)))))^2)/(($A9*(1+C$5*$B$3))-$A9)^2,0)</f>
        <v>18931</v>
      </c>
      <c r="D9" s="18" t="n">
        <f aca="false">ROUNDUP(((Calculadora!$B$10*SQRT(2*(($A9+($A9*(1+D$5*$B$3)))/2)*(1-(($A9+($A9*(1+D$5*$B$3)))/2)))+Calculadora!$B$11*SQRT($A9*(1-$A9)+($A9*(1+D$5*$B$3))*(1-($A9*(1+D$5*$B$3)))))^2)/(($A9*(1+D$5*$B$3))-$A9)^2,0)</f>
        <v>10882</v>
      </c>
      <c r="E9" s="18" t="n">
        <f aca="false">ROUNDUP(((Calculadora!$B$10*SQRT(2*(($A9+($A9*(1+E$5*$B$3)))/2)*(1-(($A9+($A9*(1+E$5*$B$3)))/2)))+Calculadora!$B$11*SQRT($A9*(1-$A9)+($A9*(1+E$5*$B$3))*(1-($A9*(1+E$5*$B$3)))))^2)/(($A9*(1+E$5*$B$3))-$A9)^2,0)</f>
        <v>5042</v>
      </c>
      <c r="F9" s="18" t="n">
        <f aca="false">ROUNDUP(((Calculadora!$B$10*SQRT(2*(($A9+($A9*(1+F$5*$B$3)))/2)*(1-(($A9+($A9*(1+F$5*$B$3)))/2)))+Calculadora!$B$11*SQRT($A9*(1-$A9)+($A9*(1+F$5*$B$3))*(1-($A9*(1+F$5*$B$3)))))^2)/(($A9*(1+F$5*$B$3))-$A9)^2,0)</f>
        <v>1962</v>
      </c>
    </row>
    <row r="10" customFormat="false" ht="15" hidden="false" customHeight="false" outlineLevel="0" collapsed="false">
      <c r="A10" s="23" t="n">
        <v>0.08</v>
      </c>
      <c r="B10" s="18" t="n">
        <f aca="false">ROUNDUP(((Calculadora!$B$10*SQRT(2*(($A10+($A10*(1+B$5*$B$3)))/2)*(1-(($A10+($A10*(1+B$5*$B$3)))/2)))+Calculadora!$B$11*SQRT($A10*(1-$A10)+($A10*(1+B$5*$B$3))*(1-($A10*(1+B$5*$B$3)))))^2)/(($A10*(1+B$5*$B$3))-$A10)^2,0)</f>
        <v>25172</v>
      </c>
      <c r="C10" s="18" t="n">
        <f aca="false">ROUNDUP(((Calculadora!$B$10*SQRT(2*(($A10+($A10*(1+C$5*$B$3)))/2)*(1-(($A10+($A10*(1+C$5*$B$3)))/2)))+Calculadora!$B$11*SQRT($A10*(1-$A10)+($A10*(1+C$5*$B$3))*(1-($A10*(1+C$5*$B$3)))))^2)/(($A10*(1+C$5*$B$3))-$A10)^2,0)</f>
        <v>11429</v>
      </c>
      <c r="D10" s="18" t="n">
        <f aca="false">ROUNDUP(((Calculadora!$B$10*SQRT(2*(($A10+($A10*(1+D$5*$B$3)))/2)*(1-(($A10+($A10*(1+D$5*$B$3)))/2)))+Calculadora!$B$11*SQRT($A10*(1-$A10)+($A10*(1+D$5*$B$3))*(1-($A10*(1+D$5*$B$3)))))^2)/(($A10*(1+D$5*$B$3))-$A10)^2,0)</f>
        <v>6563</v>
      </c>
      <c r="E10" s="18" t="n">
        <f aca="false">ROUNDUP(((Calculadora!$B$10*SQRT(2*(($A10+($A10*(1+E$5*$B$3)))/2)*(1-(($A10+($A10*(1+E$5*$B$3)))/2)))+Calculadora!$B$11*SQRT($A10*(1-$A10)+($A10*(1+E$5*$B$3))*(1-($A10*(1+E$5*$B$3)))))^2)/(($A10*(1+E$5*$B$3))-$A10)^2,0)</f>
        <v>3036</v>
      </c>
      <c r="F10" s="18" t="n">
        <f aca="false">ROUNDUP(((Calculadora!$B$10*SQRT(2*(($A10+($A10*(1+F$5*$B$3)))/2)*(1-(($A10+($A10*(1+F$5*$B$3)))/2)))+Calculadora!$B$11*SQRT($A10*(1-$A10)+($A10*(1+F$5*$B$3))*(1-($A10*(1+F$5*$B$3)))))^2)/(($A10*(1+F$5*$B$3))-$A10)^2,0)</f>
        <v>1177</v>
      </c>
    </row>
    <row r="11" customFormat="false" ht="15" hidden="false" customHeight="false" outlineLevel="0" collapsed="false">
      <c r="A11" s="23" t="n">
        <v>0.1</v>
      </c>
      <c r="B11" s="18" t="n">
        <f aca="false">ROUNDUP(((Calculadora!$B$10*SQRT(2*(($A11+($A11*(1+B$5*$B$3)))/2)*(1-(($A11+($A11*(1+B$5*$B$3)))/2)))+Calculadora!$B$11*SQRT($A11*(1-$A11)+($A11*(1+B$5*$B$3))*(1-($A11*(1+B$5*$B$3)))))^2)/(($A11*(1+B$5*$B$3))-$A11)^2,0)</f>
        <v>19676</v>
      </c>
      <c r="C11" s="18" t="n">
        <f aca="false">ROUNDUP(((Calculadora!$B$10*SQRT(2*(($A11+($A11*(1+C$5*$B$3)))/2)*(1-(($A11+($A11*(1+C$5*$B$3)))/2)))+Calculadora!$B$11*SQRT($A11*(1-$A11)+($A11*(1+C$5*$B$3))*(1-($A11*(1+C$5*$B$3)))))^2)/(($A11*(1+C$5*$B$3))-$A11)^2,0)</f>
        <v>8928</v>
      </c>
      <c r="D11" s="18" t="n">
        <f aca="false">ROUNDUP(((Calculadora!$B$10*SQRT(2*(($A11+($A11*(1+D$5*$B$3)))/2)*(1-(($A11+($A11*(1+D$5*$B$3)))/2)))+Calculadora!$B$11*SQRT($A11*(1-$A11)+($A11*(1+D$5*$B$3))*(1-($A11*(1+D$5*$B$3)))))^2)/(($A11*(1+D$5*$B$3))-$A11)^2,0)</f>
        <v>5124</v>
      </c>
      <c r="E11" s="18" t="n">
        <f aca="false">ROUNDUP(((Calculadora!$B$10*SQRT(2*(($A11+($A11*(1+E$5*$B$3)))/2)*(1-(($A11+($A11*(1+E$5*$B$3)))/2)))+Calculadora!$B$11*SQRT($A11*(1-$A11)+($A11*(1+E$5*$B$3))*(1-($A11*(1+E$5*$B$3)))))^2)/(($A11*(1+E$5*$B$3))-$A11)^2,0)</f>
        <v>2367</v>
      </c>
      <c r="F11" s="18" t="n">
        <f aca="false">ROUNDUP(((Calculadora!$B$10*SQRT(2*(($A11+($A11*(1+F$5*$B$3)))/2)*(1-(($A11+($A11*(1+F$5*$B$3)))/2)))+Calculadora!$B$11*SQRT($A11*(1-$A11)+($A11*(1+F$5*$B$3))*(1-($A11*(1+F$5*$B$3)))))^2)/(($A11*(1+F$5*$B$3))-$A11)^2,0)</f>
        <v>915</v>
      </c>
    </row>
    <row r="12" customFormat="false" ht="15" hidden="false" customHeight="false" outlineLevel="0" collapsed="false">
      <c r="A12" s="23" t="n">
        <v>0.15</v>
      </c>
      <c r="B12" s="18" t="n">
        <f aca="false">ROUNDUP(((Calculadora!$B$10*SQRT(2*(($A12+($A12*(1+B$5*$B$3)))/2)*(1-(($A12+($A12*(1+B$5*$B$3)))/2)))+Calculadora!$B$11*SQRT($A12*(1-$A12)+($A12*(1+B$5*$B$3))*(1-($A12*(1+B$5*$B$3)))))^2)/(($A12*(1+B$5*$B$3))-$A12)^2,0)</f>
        <v>12347</v>
      </c>
      <c r="C12" s="18" t="n">
        <f aca="false">ROUNDUP(((Calculadora!$B$10*SQRT(2*(($A12+($A12*(1+C$5*$B$3)))/2)*(1-(($A12+($A12*(1+C$5*$B$3)))/2)))+Calculadora!$B$11*SQRT($A12*(1-$A12)+($A12*(1+C$5*$B$3))*(1-($A12*(1+C$5*$B$3)))))^2)/(($A12*(1+C$5*$B$3))-$A12)^2,0)</f>
        <v>5593</v>
      </c>
      <c r="D12" s="18" t="n">
        <f aca="false">ROUNDUP(((Calculadora!$B$10*SQRT(2*(($A12+($A12*(1+D$5*$B$3)))/2)*(1-(($A12+($A12*(1+D$5*$B$3)))/2)))+Calculadora!$B$11*SQRT($A12*(1-$A12)+($A12*(1+D$5*$B$3))*(1-($A12*(1+D$5*$B$3)))))^2)/(($A12*(1+D$5*$B$3))-$A12)^2,0)</f>
        <v>3204</v>
      </c>
      <c r="E12" s="18" t="n">
        <f aca="false">ROUNDUP(((Calculadora!$B$10*SQRT(2*(($A12+($A12*(1+E$5*$B$3)))/2)*(1-(($A12+($A12*(1+E$5*$B$3)))/2)))+Calculadora!$B$11*SQRT($A12*(1-$A12)+($A12*(1+E$5*$B$3))*(1-($A12*(1+E$5*$B$3)))))^2)/(($A12*(1+E$5*$B$3))-$A12)^2,0)</f>
        <v>1475</v>
      </c>
      <c r="F12" s="18" t="n">
        <f aca="false">ROUNDUP(((Calculadora!$B$10*SQRT(2*(($A12+($A12*(1+F$5*$B$3)))/2)*(1-(($A12+($A12*(1+F$5*$B$3)))/2)))+Calculadora!$B$11*SQRT($A12*(1-$A12)+($A12*(1+F$5*$B$3))*(1-($A12*(1+F$5*$B$3)))))^2)/(($A12*(1+F$5*$B$3))-$A12)^2,0)</f>
        <v>566</v>
      </c>
    </row>
    <row r="13" customFormat="false" ht="15" hidden="false" customHeight="false" outlineLevel="0" collapsed="false">
      <c r="A13" s="23" t="n">
        <v>0.2</v>
      </c>
      <c r="B13" s="18" t="n">
        <f aca="false">ROUNDUP(((Calculadora!$B$10*SQRT(2*(($A13+($A13*(1+B$5*$B$3)))/2)*(1-(($A13+($A13*(1+B$5*$B$3)))/2)))+Calculadora!$B$11*SQRT($A13*(1-$A13)+($A13*(1+B$5*$B$3))*(1-($A13*(1+B$5*$B$3)))))^2)/(($A13*(1+B$5*$B$3))-$A13)^2,0)</f>
        <v>8683</v>
      </c>
      <c r="C13" s="18" t="n">
        <f aca="false">ROUNDUP(((Calculadora!$B$10*SQRT(2*(($A13+($A13*(1+C$5*$B$3)))/2)*(1-(($A13+($A13*(1+C$5*$B$3)))/2)))+Calculadora!$B$11*SQRT($A13*(1-$A13)+($A13*(1+C$5*$B$3))*(1-($A13*(1+C$5*$B$3)))))^2)/(($A13*(1+C$5*$B$3))-$A13)^2,0)</f>
        <v>3926</v>
      </c>
      <c r="D13" s="18" t="n">
        <f aca="false">ROUNDUP(((Calculadora!$B$10*SQRT(2*(($A13+($A13*(1+D$5*$B$3)))/2)*(1-(($A13+($A13*(1+D$5*$B$3)))/2)))+Calculadora!$B$11*SQRT($A13*(1-$A13)+($A13*(1+D$5*$B$3))*(1-($A13*(1+D$5*$B$3)))))^2)/(($A13*(1+D$5*$B$3))-$A13)^2,0)</f>
        <v>2245</v>
      </c>
      <c r="E13" s="18" t="n">
        <f aca="false">ROUNDUP(((Calculadora!$B$10*SQRT(2*(($A13+($A13*(1+E$5*$B$3)))/2)*(1-(($A13+($A13*(1+E$5*$B$3)))/2)))+Calculadora!$B$11*SQRT($A13*(1-$A13)+($A13*(1+E$5*$B$3))*(1-($A13*(1+E$5*$B$3)))))^2)/(($A13*(1+E$5*$B$3))-$A13)^2,0)</f>
        <v>1029</v>
      </c>
      <c r="F13" s="18" t="n">
        <f aca="false">ROUNDUP(((Calculadora!$B$10*SQRT(2*(($A13+($A13*(1+F$5*$B$3)))/2)*(1-(($A13+($A13*(1+F$5*$B$3)))/2)))+Calculadora!$B$11*SQRT($A13*(1-$A13)+($A13*(1+F$5*$B$3))*(1-($A13*(1+F$5*$B$3)))))^2)/(($A13*(1+F$5*$B$3))-$A13)^2,0)</f>
        <v>392</v>
      </c>
    </row>
    <row r="15" customFormat="false" ht="15" hidden="false" customHeight="false" outlineLevel="0" collapsed="false">
      <c r="A15" s="3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83</v>
      </c>
    </row>
    <row r="3" customFormat="false" ht="15" hidden="false" customHeight="false" outlineLevel="0" collapsed="false">
      <c r="A3" s="24" t="s">
        <v>84</v>
      </c>
    </row>
    <row r="4" customFormat="false" ht="23.85" hidden="false" customHeight="false" outlineLevel="0" collapsed="false">
      <c r="A4" s="24" t="s">
        <v>85</v>
      </c>
    </row>
    <row r="5" customFormat="false" ht="15" hidden="false" customHeight="false" outlineLevel="0" collapsed="false">
      <c r="A5" s="24" t="s">
        <v>86</v>
      </c>
    </row>
    <row r="6" customFormat="false" ht="15" hidden="false" customHeight="false" outlineLevel="0" collapsed="false">
      <c r="A6" s="24" t="s">
        <v>87</v>
      </c>
    </row>
    <row r="7" customFormat="false" ht="15" hidden="false" customHeight="false" outlineLevel="0" collapsed="false">
      <c r="A7" s="24" t="s">
        <v>88</v>
      </c>
    </row>
    <row r="8" customFormat="false" ht="15" hidden="false" customHeight="false" outlineLevel="0" collapsed="false">
      <c r="A8" s="24" t="s">
        <v>89</v>
      </c>
    </row>
    <row r="9" customFormat="false" ht="15" hidden="false" customHeight="false" outlineLevel="0" collapsed="false">
      <c r="A9" s="24"/>
    </row>
    <row r="10" customFormat="false" ht="15" hidden="false" customHeight="false" outlineLevel="0" collapsed="false">
      <c r="A10" s="25" t="s">
        <v>90</v>
      </c>
    </row>
    <row r="11" customFormat="false" ht="23.85" hidden="false" customHeight="false" outlineLevel="0" collapsed="false">
      <c r="A11" s="24" t="s">
        <v>91</v>
      </c>
    </row>
    <row r="12" customFormat="false" ht="15" hidden="false" customHeight="false" outlineLevel="0" collapsed="false">
      <c r="A12" s="24" t="s">
        <v>92</v>
      </c>
    </row>
    <row r="13" customFormat="false" ht="15" hidden="false" customHeight="false" outlineLevel="0" collapsed="false">
      <c r="A13" s="24"/>
    </row>
    <row r="14" customFormat="false" ht="23.85" hidden="false" customHeight="false" outlineLevel="0" collapsed="false">
      <c r="A14" s="24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2026-10-08T18:34:10Z</dcterms:created>
  <dc:creator>openpyxl</dc:creator>
  <dc:description/>
  <dc:language>en-US</dc:language>
  <cp:lastModifiedBy/>
  <dcterms:modified xsi:type="dcterms:W3CDTF">2026-10-08T18:34:10Z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