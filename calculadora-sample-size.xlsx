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dora" sheetId="1" state="visible" r:id="rId3"/>
    <sheet name="Tabla_n" sheetId="2" state="visible" r:id="rId4"/>
    <sheet name="Instruccion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<sst xmlns="http://schemas.openxmlformats.org/spreadsheetml/2006/main" count="120" uniqueCount="107">
  <si>
    <t xml:space="preserve">Calculadora de sample size y poder: experimento de crédito por score</t>
  </si>
  <si>
    <t xml:space="preserve">Celdas azules con fondo amarillo = edítalas con tu data. Todo lo demás son fórmulas. Los valores actuales son EJEMPLOS, reemplázalos. El cálculo nunca usa más usuarios que tu tope.</t>
  </si>
  <si>
    <t xml:space="preserve">PARÁMETROS GENERALES</t>
  </si>
  <si>
    <t xml:space="preserve">Valor</t>
  </si>
  <si>
    <t xml:space="preserve">Qué es</t>
  </si>
  <si>
    <t xml:space="preserve">Alpha (riesgo de falso positivo)</t>
  </si>
  <si>
    <t xml:space="preserve">Estándar 0.05.</t>
  </si>
  <si>
    <t xml:space="preserve">Poder estadístico objetivo</t>
  </si>
  <si>
    <t xml:space="preserve">Estándar 0.80 (80% de probabilidad de detectar un efecto real).</t>
  </si>
  <si>
    <t xml:space="preserve">Número de comparaciones (tiers probados)</t>
  </si>
  <si>
    <t xml:space="preserve">3 si pruebas Excelente, Bueno y Bajo. Pon 1 si pruebas solo uno.</t>
  </si>
  <si>
    <t xml:space="preserve">Pérdidas / inactivos</t>
  </si>
  <si>
    <t xml:space="preserve">Se descuenta de tus usuarios (los que no activan o salen). Ej. 5%.</t>
  </si>
  <si>
    <t xml:space="preserve">Alpha ajustado (Bonferroni)</t>
  </si>
  <si>
    <t xml:space="preserve">Alpha / número de comparaciones.</t>
  </si>
  <si>
    <t xml:space="preserve">z de alpha</t>
  </si>
  <si>
    <t xml:space="preserve">Valor crítico de la normal (dos colas).</t>
  </si>
  <si>
    <t xml:space="preserve">z de poder</t>
  </si>
  <si>
    <t xml:space="preserve">Valor de la normal para el poder elegido.</t>
  </si>
  <si>
    <t xml:space="preserve">DATOS POR TIER (tú los llenas)</t>
  </si>
  <si>
    <t xml:space="preserve">Excelente</t>
  </si>
  <si>
    <t xml:space="preserve">Bueno</t>
  </si>
  <si>
    <t xml:space="preserve">Bajo</t>
  </si>
  <si>
    <t xml:space="preserve">Qué poner</t>
  </si>
  <si>
    <t xml:space="preserve">Crédito nuevo (MXN)</t>
  </si>
  <si>
    <t xml:space="preserve">Lo que recibirá el tier en el experimento. Hoy todos tienen 500.</t>
  </si>
  <si>
    <t xml:space="preserve">MÁXIMO de referidores disponibles en el tier (tope)</t>
  </si>
  <si>
    <t xml:space="preserve">El máximo que de verdad existe. Todo se calcula con este tope, nunca con más.</t>
  </si>
  <si>
    <t xml:space="preserve">% del tope que va a tratamiento</t>
  </si>
  <si>
    <t xml:space="preserve">50% = mitad tratamiento y mitad control (el más eficiente). El resto queda en control a 500 MXN. Usa entre 10% y 90%.</t>
  </si>
  <si>
    <t xml:space="preserve">Loans nuevos al mes del tier (con 500 MXN)</t>
  </si>
  <si>
    <t xml:space="preserve">Referidos que obtuvieron loan en el último mes en ese tier. Dato del programa actual.</t>
  </si>
  <si>
    <t xml:space="preserve">Meses de ventana de medición</t>
  </si>
  <si>
    <t xml:space="preserve">Cuánto tiempo mides a cada usuario. Más meses = tasa más alta = más poder.</t>
  </si>
  <si>
    <t xml:space="preserve">Lift relativo esperado entre quienes usan el crédito</t>
  </si>
  <si>
    <t xml:space="preserve">Cuánto crees que cambia la tasa. Positivo si el crédito sube, negativo si baja (Bajo).</t>
  </si>
  <si>
    <t xml:space="preserve">Take-up (% que usa el crédito)</t>
  </si>
  <si>
    <t xml:space="preserve">% de quienes reciben el crédito que realmente lo usa. Diluye el efecto.</t>
  </si>
  <si>
    <t xml:space="preserve">RESULTADOS CON TU TOPE</t>
  </si>
  <si>
    <t xml:space="preserve">Cómo leerlo</t>
  </si>
  <si>
    <t xml:space="preserve">Tasa base mensual (loans / tope)</t>
  </si>
  <si>
    <t xml:space="preserve">Aproximación: asume 1 loan por referidor al mes.</t>
  </si>
  <si>
    <t xml:space="preserve">Tasa base en la ventana (p1)</t>
  </si>
  <si>
    <t xml:space="preserve">Probabilidad de que un referidor traiga un loan en toda la ventana.</t>
  </si>
  <si>
    <t xml:space="preserve">Lift efectivo en todo el grupo (ITT)</t>
  </si>
  <si>
    <t xml:space="preserve">Lift relativo × take-up. Es el efecto que de verdad se mide.</t>
  </si>
  <si>
    <t xml:space="preserve">Tasa esperada con tratamiento (p2)</t>
  </si>
  <si>
    <t xml:space="preserve">Tasa base ajustada por el lift efectivo.</t>
  </si>
  <si>
    <t xml:space="preserve">Usuarios efectivos en tratamiento</t>
  </si>
  <si>
    <t xml:space="preserve">Tope × % tratamiento, menos pérdidas.</t>
  </si>
  <si>
    <t xml:space="preserve">Usuarios efectivos en control (500 MXN)</t>
  </si>
  <si>
    <t xml:space="preserve">Tope × % control, menos pérdidas.</t>
  </si>
  <si>
    <t xml:space="preserve">PODER real con tu tope</t>
  </si>
  <si>
    <t xml:space="preserve">Probabilidad de detectar el lift esperado con tus usuarios. Busca 80% o más.</t>
  </si>
  <si>
    <t xml:space="preserve">Efecto mínimo detectable relativo (todo el grupo)</t>
  </si>
  <si>
    <t xml:space="preserve">Con tu tope solo detectas cambios de este tamaño o mayores en la tasa base.</t>
  </si>
  <si>
    <t xml:space="preserve">Efecto mínimo detectable entre quienes usan el crédito</t>
  </si>
  <si>
    <t xml:space="preserve">Lo mismo, corregido por take-up. Compáralo con el lift que esperas.</t>
  </si>
  <si>
    <t xml:space="preserve">¿Detecta el lift esperado?</t>
  </si>
  <si>
    <t xml:space="preserve">SÍ = con tu tope llegas al poder objetivo.</t>
  </si>
  <si>
    <t xml:space="preserve">REFERENCIA: lo que necesitarías</t>
  </si>
  <si>
    <t xml:space="preserve">Usuarios totales que harían falta (con pérdidas)</t>
  </si>
  <si>
    <t xml:space="preserve">Para detectar el lift esperado con el poder objetivo y tu % de tratamiento. Es solo referencia.</t>
  </si>
  <si>
    <t xml:space="preserve">¿Cabe en tu tope?</t>
  </si>
  <si>
    <t xml:space="preserve">Compara lo necesario contra el máximo que tienes.</t>
  </si>
  <si>
    <t xml:space="preserve">Meses de ventana para llegar al poder con tu tope</t>
  </si>
  <si>
    <t xml:space="preserve">Con tu tope y tu lift, cuántos meses mediría cada usuario para llegar a 80% (máx. 12). Asume meses independientes.</t>
  </si>
  <si>
    <t xml:space="preserve">Recomendación</t>
  </si>
  <si>
    <t xml:space="preserve">Qué hacer con este tier.</t>
  </si>
  <si>
    <t xml:space="preserve">CÁLCULO AUXILIAR (no editar)</t>
  </si>
  <si>
    <t xml:space="preserve">Para qué sirve</t>
  </si>
  <si>
    <t xml:space="preserve">k = tratamiento / control</t>
  </si>
  <si>
    <t xml:space="preserve">Razón entre grupos.</t>
  </si>
  <si>
    <t xml:space="preserve">n efectivo tratamiento</t>
  </si>
  <si>
    <t xml:space="preserve">Tope × % tratamiento × (1 - pérdidas).</t>
  </si>
  <si>
    <t xml:space="preserve">n efectivo control</t>
  </si>
  <si>
    <t xml:space="preserve">Tope × (1 - % tratamiento) × (1 - pérdidas).</t>
  </si>
  <si>
    <t xml:space="preserve">Tasa combinada bajo H0</t>
  </si>
  <si>
    <t xml:space="preserve">Media ponderada de p1 y p2, para el error estándar.</t>
  </si>
  <si>
    <t xml:space="preserve">Iteración 0 del efecto mínimo (pp)</t>
  </si>
  <si>
    <t xml:space="preserve">Aproximación inicial.</t>
  </si>
  <si>
    <t xml:space="preserve">Iteración 1</t>
  </si>
  <si>
    <t xml:space="preserve">Iteración 2</t>
  </si>
  <si>
    <t xml:space="preserve">Iteración 3</t>
  </si>
  <si>
    <t xml:space="preserve">Iteración 4 = efecto mínimo detectable (pp absolutos)</t>
  </si>
  <si>
    <t xml:space="preserve">Converge en 4 pasos.</t>
  </si>
  <si>
    <t xml:space="preserve">PODER POR MESES DE VENTANA (auxiliar)</t>
  </si>
  <si>
    <t xml:space="preserve">Poder con tu tope si midieras cada usuario por N meses</t>
  </si>
  <si>
    <t xml:space="preserve">Supuestos: prueba de dos proporciones, dos colas, aproximación normal, con grupos de tamaño distinto si cambias el % de tratamiento. La tasa base mensual asume 1 loan por referidor; si hay referidores con varios loans, la tasa real es menor. Tasa acumulada = 1-(1-p)^meses asume meses independientes (en la práctica es algo menor). Si tu tope de 10K es el TOTAL entre los 3 tiers y no por tier, divídelo entre los tiers en la fila del tope.</t>
  </si>
  <si>
    <t xml:space="preserve">Usuarios necesarios por brazo según tasa base y lift (referencia, 50/50)</t>
  </si>
  <si>
    <t xml:space="preserve">Usa el alpha, poder y comparaciones de la hoja Calculadora. Es solo referencia: compara contra tu tope. Edita los valores azules para cambiar la rejilla.</t>
  </si>
  <si>
    <t xml:space="preserve">Take-up para esta tabla</t>
  </si>
  <si>
    <t xml:space="preserve">100% = todos usan el crédito. Baja el valor para ver el efecto de la dilución.</t>
  </si>
  <si>
    <t xml:space="preserve">Tasa base \ Lift relativo entre quienes usan</t>
  </si>
  <si>
    <t xml:space="preserve">Cada celda = usuarios por brazo (tratamiento o control), sin margen de pérdidas. Multiplica por 2 para el total del tier.</t>
  </si>
  <si>
    <t xml:space="preserve">Cómo usar esta hoja (2 minutos)</t>
  </si>
  <si>
    <t xml:space="preserve">1. En la hoja Calculadora, cambia las celdas azules con fondo amarillo. Los números actuales son ejemplos.</t>
  </si>
  <si>
    <t xml:space="preserve">2. Parámetros generales: deja alpha 0.05 y poder 0.80 salvo que tengas otra regla. Pon en comparaciones cuántos tiers pruebas (3 si Excelente, Bueno y Bajo).</t>
  </si>
  <si>
    <t xml:space="preserve">3. Por tier: tu TOPE de referidores (el máximo que existe), el % que va a tratamiento, loans nuevos al mes con 500 MXN, meses de ventana, lift esperado y take-up.</t>
  </si>
  <si>
    <t xml:space="preserve">4. Lee primero 'PODER real con tu tope' y '¿Detecta el lift esperado?'. Esos números usan solo tus usuarios disponibles.</t>
  </si>
  <si>
    <t xml:space="preserve">5. Si dice NO, mira 'Efecto mínimo detectable' (lo más chico que sí verías con tu tope) y 'Meses de ventana para llegar al poder'.</t>
  </si>
  <si>
    <t xml:space="preserve">6. 'Referencia: lo que necesitarías' es solo para comparar contra tu tope. Si no cabe, no lo persigas: alarga la ventana, prueba menos tiers o espera un lift mayor.</t>
  </si>
  <si>
    <t xml:space="preserve">7. La hoja Tabla_n da una rejilla de referencia: usuarios por brazo para cada tasa base y lift (50/50).</t>
  </si>
  <si>
    <t xml:space="preserve">De dónde sale cada dato:</t>
  </si>
  <si>
    <t xml:space="preserve">Tope: referidores activos del tier. Loans al mes: referidos con loan del tier en el último mes. Lift: tu hipótesis (qué mejora justificaría pagar más crédito).</t>
  </si>
  <si>
    <t xml:space="preserve">Take-up: de los que reciben el crédito, % que realmente lo usa. Si no lo tienes, prueba 100%, 60% y 40% para ver la sensibilidad.</t>
  </si>
  <si>
    <t xml:space="preserve">Nota: el tier Regular no cambia (se queda en 500), por eso no entra a la calculadora. Se usa como referencia de tendencia, no como control de los demás tiers.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</si>
</sst>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"/>
    <numFmt numFmtId="166" formatCode="0.00"/>
    <numFmt numFmtId="167" formatCode="0"/>
    <numFmt numFmtId="168" formatCode="0.0%"/>
    <numFmt numFmtId="169" formatCode="0.0000"/>
    <numFmt numFmtId="170" formatCode="#,##0"/>
    <numFmt numFmtId="171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9"/>
    <col collapsed="false" customWidth="true" hidden="false" outlineLevel="0" max="5" min="5" style="0" width="72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2</v>
      </c>
      <c r="B4" s="5" t="s">
        <v>3</v>
      </c>
      <c r="C4" s="5"/>
      <c r="D4" s="5"/>
      <c r="E4" s="5" t="s">
        <v>4</v>
      </c>
      <c r="F4" s="2"/>
    </row>
    <row r="5" customFormat="false" ht="15" hidden="false" customHeight="false" outlineLevel="0" collapsed="false">
      <c r="A5" s="6" t="s">
        <v>5</v>
      </c>
      <c r="B5" s="7" t="n">
        <v>0.05</v>
      </c>
      <c r="C5" s="2"/>
      <c r="D5" s="2"/>
      <c r="E5" s="8" t="s">
        <v>6</v>
      </c>
      <c r="F5" s="2"/>
    </row>
    <row r="6" customFormat="false" ht="15" hidden="false" customHeight="false" outlineLevel="0" collapsed="false">
      <c r="A6" s="6" t="s">
        <v>7</v>
      </c>
      <c r="B6" s="9" t="n">
        <v>0.8</v>
      </c>
      <c r="C6" s="2"/>
      <c r="D6" s="2"/>
      <c r="E6" s="8" t="s">
        <v>8</v>
      </c>
      <c r="F6" s="2"/>
    </row>
    <row r="7" customFormat="false" ht="15" hidden="false" customHeight="false" outlineLevel="0" collapsed="false">
      <c r="A7" s="6" t="s">
        <v>9</v>
      </c>
      <c r="B7" s="10" t="n">
        <v>3</v>
      </c>
      <c r="C7" s="2"/>
      <c r="D7" s="2"/>
      <c r="E7" s="8" t="s">
        <v>10</v>
      </c>
      <c r="F7" s="2"/>
    </row>
    <row r="8" customFormat="false" ht="15" hidden="false" customHeight="false" outlineLevel="0" collapsed="false">
      <c r="A8" s="6" t="s">
        <v>11</v>
      </c>
      <c r="B8" s="11" t="n">
        <v>0.05</v>
      </c>
      <c r="C8" s="2"/>
      <c r="D8" s="2"/>
      <c r="E8" s="8" t="s">
        <v>12</v>
      </c>
      <c r="F8" s="2"/>
    </row>
    <row r="9" customFormat="false" ht="15" hidden="false" customHeight="false" outlineLevel="0" collapsed="false">
      <c r="A9" s="6" t="s">
        <v>13</v>
      </c>
      <c r="B9" s="12" t="n">
        <f aca="false">B5/B7</f>
        <v>0.0166666666666667</v>
      </c>
      <c r="C9" s="2"/>
      <c r="D9" s="2"/>
      <c r="E9" s="8" t="s">
        <v>14</v>
      </c>
      <c r="F9" s="2"/>
    </row>
    <row r="10" customFormat="false" ht="15" hidden="false" customHeight="false" outlineLevel="0" collapsed="false">
      <c r="A10" s="6" t="s">
        <v>15</v>
      </c>
      <c r="B10" s="13" t="n">
        <f aca="false">NORMSINV(1-B9/2)</f>
        <v>2.39397979981851</v>
      </c>
      <c r="C10" s="2"/>
      <c r="D10" s="2"/>
      <c r="E10" s="8" t="s">
        <v>16</v>
      </c>
      <c r="F10" s="2"/>
    </row>
    <row r="11" customFormat="false" ht="15" hidden="false" customHeight="false" outlineLevel="0" collapsed="false">
      <c r="A11" s="6" t="s">
        <v>17</v>
      </c>
      <c r="B11" s="13" t="n">
        <f aca="false">NORMSINV(B6)</f>
        <v>0.841621233572914</v>
      </c>
      <c r="C11" s="2"/>
      <c r="D11" s="2"/>
      <c r="E11" s="8" t="s">
        <v>18</v>
      </c>
      <c r="F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</row>
    <row r="13" customFormat="false" ht="15" hidden="false" customHeight="false" outlineLevel="0" collapsed="false">
      <c r="A13" s="4" t="s">
        <v>19</v>
      </c>
      <c r="B13" s="5" t="s">
        <v>20</v>
      </c>
      <c r="C13" s="5" t="s">
        <v>21</v>
      </c>
      <c r="D13" s="5" t="s">
        <v>22</v>
      </c>
      <c r="E13" s="5" t="s">
        <v>23</v>
      </c>
      <c r="F13" s="2"/>
    </row>
    <row r="14" customFormat="false" ht="15" hidden="false" customHeight="false" outlineLevel="0" collapsed="false">
      <c r="A14" s="6" t="s">
        <v>24</v>
      </c>
      <c r="B14" s="14" t="n">
        <v>1000</v>
      </c>
      <c r="C14" s="14" t="n">
        <v>750</v>
      </c>
      <c r="D14" s="14" t="n">
        <v>250</v>
      </c>
      <c r="E14" s="8" t="s">
        <v>25</v>
      </c>
      <c r="F14" s="2"/>
    </row>
    <row r="15" customFormat="false" ht="15" hidden="false" customHeight="false" outlineLevel="0" collapsed="false">
      <c r="A15" s="6" t="s">
        <v>26</v>
      </c>
      <c r="B15" s="14" t="n">
        <v>10000</v>
      </c>
      <c r="C15" s="14" t="n">
        <v>10000</v>
      </c>
      <c r="D15" s="14" t="n">
        <v>10000</v>
      </c>
      <c r="E15" s="8" t="s">
        <v>27</v>
      </c>
      <c r="F15" s="2"/>
    </row>
    <row r="16" customFormat="false" ht="27.75" hidden="false" customHeight="true" outlineLevel="0" collapsed="false">
      <c r="A16" s="6" t="s">
        <v>28</v>
      </c>
      <c r="B16" s="11" t="n">
        <v>0.5</v>
      </c>
      <c r="C16" s="11" t="n">
        <v>0.5</v>
      </c>
      <c r="D16" s="11" t="n">
        <v>0.5</v>
      </c>
      <c r="E16" s="8" t="s">
        <v>29</v>
      </c>
      <c r="F16" s="2"/>
    </row>
    <row r="17" customFormat="false" ht="15" hidden="false" customHeight="false" outlineLevel="0" collapsed="false">
      <c r="A17" s="6" t="s">
        <v>30</v>
      </c>
      <c r="B17" s="14" t="n">
        <v>500</v>
      </c>
      <c r="C17" s="14" t="n">
        <v>300</v>
      </c>
      <c r="D17" s="14" t="n">
        <v>100</v>
      </c>
      <c r="E17" s="8" t="s">
        <v>31</v>
      </c>
      <c r="F17" s="2"/>
    </row>
    <row r="18" customFormat="false" ht="15" hidden="false" customHeight="false" outlineLevel="0" collapsed="false">
      <c r="A18" s="6" t="s">
        <v>32</v>
      </c>
      <c r="B18" s="10" t="n">
        <v>1</v>
      </c>
      <c r="C18" s="10" t="n">
        <v>1</v>
      </c>
      <c r="D18" s="10" t="n">
        <v>1</v>
      </c>
      <c r="E18" s="8" t="s">
        <v>33</v>
      </c>
      <c r="F18" s="2"/>
    </row>
    <row r="19" customFormat="false" ht="15" hidden="false" customHeight="false" outlineLevel="0" collapsed="false">
      <c r="A19" s="6" t="s">
        <v>34</v>
      </c>
      <c r="B19" s="11" t="n">
        <v>0.3</v>
      </c>
      <c r="C19" s="11" t="n">
        <v>0.15</v>
      </c>
      <c r="D19" s="11" t="n">
        <v>-0.15</v>
      </c>
      <c r="E19" s="8" t="s">
        <v>35</v>
      </c>
      <c r="F19" s="2"/>
    </row>
    <row r="20" customFormat="false" ht="15" hidden="false" customHeight="false" outlineLevel="0" collapsed="false">
      <c r="A20" s="6" t="s">
        <v>36</v>
      </c>
      <c r="B20" s="11" t="n">
        <v>0.6</v>
      </c>
      <c r="C20" s="11" t="n">
        <v>0.6</v>
      </c>
      <c r="D20" s="11" t="n">
        <v>0.6</v>
      </c>
      <c r="E20" s="8" t="s">
        <v>37</v>
      </c>
      <c r="F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</row>
    <row r="22" customFormat="false" ht="15" hidden="false" customHeight="false" outlineLevel="0" collapsed="false">
      <c r="A22" s="4" t="s">
        <v>38</v>
      </c>
      <c r="B22" s="5" t="s">
        <v>20</v>
      </c>
      <c r="C22" s="5" t="s">
        <v>21</v>
      </c>
      <c r="D22" s="5" t="s">
        <v>22</v>
      </c>
      <c r="E22" s="5" t="s">
        <v>39</v>
      </c>
      <c r="F22" s="2"/>
    </row>
    <row r="23" customFormat="false" ht="15" hidden="false" customHeight="false" outlineLevel="0" collapsed="false">
      <c r="A23" s="6" t="s">
        <v>40</v>
      </c>
      <c r="B23" s="15" t="n">
        <f aca="false">B17/B15</f>
        <v>0.05</v>
      </c>
      <c r="C23" s="15" t="n">
        <f aca="false">C17/C15</f>
        <v>0.03</v>
      </c>
      <c r="D23" s="15" t="n">
        <f aca="false">D17/D15</f>
        <v>0.01</v>
      </c>
      <c r="E23" s="8" t="s">
        <v>41</v>
      </c>
      <c r="F23" s="2"/>
    </row>
    <row r="24" customFormat="false" ht="15" hidden="false" customHeight="false" outlineLevel="0" collapsed="false">
      <c r="A24" s="6" t="s">
        <v>42</v>
      </c>
      <c r="B24" s="15" t="n">
        <f aca="false">1-(1-B23)^B18</f>
        <v>0.05</v>
      </c>
      <c r="C24" s="15" t="n">
        <f aca="false">1-(1-C23)^C18</f>
        <v>0.03</v>
      </c>
      <c r="D24" s="15" t="n">
        <f aca="false">1-(1-D23)^D18</f>
        <v>0.01</v>
      </c>
      <c r="E24" s="8" t="s">
        <v>43</v>
      </c>
      <c r="F24" s="2"/>
    </row>
    <row r="25" customFormat="false" ht="15" hidden="false" customHeight="false" outlineLevel="0" collapsed="false">
      <c r="A25" s="6" t="s">
        <v>44</v>
      </c>
      <c r="B25" s="16" t="n">
        <f aca="false">B19*B20</f>
        <v>0.18</v>
      </c>
      <c r="C25" s="16" t="n">
        <f aca="false">C19*C20</f>
        <v>0.09</v>
      </c>
      <c r="D25" s="16" t="n">
        <f aca="false">D19*D20</f>
        <v>-0.09</v>
      </c>
      <c r="E25" s="8" t="s">
        <v>45</v>
      </c>
      <c r="F25" s="2"/>
    </row>
    <row r="26" customFormat="false" ht="15" hidden="false" customHeight="false" outlineLevel="0" collapsed="false">
      <c r="A26" s="6" t="s">
        <v>46</v>
      </c>
      <c r="B26" s="15" t="n">
        <f aca="false">B24*(1+B25)</f>
        <v>0.0590000000000001</v>
      </c>
      <c r="C26" s="15" t="n">
        <f aca="false">C24*(1+C25)</f>
        <v>0.0327</v>
      </c>
      <c r="D26" s="15" t="n">
        <f aca="false">D24*(1+D25)</f>
        <v>0.00910000000000001</v>
      </c>
      <c r="E26" s="8" t="s">
        <v>47</v>
      </c>
      <c r="F26" s="2"/>
    </row>
    <row r="27" customFormat="false" ht="15" hidden="false" customHeight="false" outlineLevel="0" collapsed="false">
      <c r="A27" s="6" t="s">
        <v>48</v>
      </c>
      <c r="B27" s="17" t="n">
        <f aca="false">B43</f>
        <v>4750</v>
      </c>
      <c r="C27" s="17" t="n">
        <f aca="false">C43</f>
        <v>4750</v>
      </c>
      <c r="D27" s="17" t="n">
        <f aca="false">D43</f>
        <v>4750</v>
      </c>
      <c r="E27" s="8" t="s">
        <v>49</v>
      </c>
      <c r="F27" s="2"/>
    </row>
    <row r="28" customFormat="false" ht="15" hidden="false" customHeight="false" outlineLevel="0" collapsed="false">
      <c r="A28" s="6" t="s">
        <v>50</v>
      </c>
      <c r="B28" s="17" t="n">
        <f aca="false">B44</f>
        <v>4750</v>
      </c>
      <c r="C28" s="17" t="n">
        <f aca="false">C44</f>
        <v>4750</v>
      </c>
      <c r="D28" s="17" t="n">
        <f aca="false">D44</f>
        <v>4750</v>
      </c>
      <c r="E28" s="8" t="s">
        <v>51</v>
      </c>
      <c r="F28" s="2"/>
    </row>
    <row r="29" customFormat="false" ht="15" hidden="false" customHeight="false" outlineLevel="0" collapsed="false">
      <c r="A29" s="6" t="s">
        <v>52</v>
      </c>
      <c r="B29" s="18" t="n">
        <f aca="false">NORMSDIST((ABS(B26-B24)-$B$10*SQRT(B45*(1-B45)*(1/B44+1/B43)))/SQRT(B24*(1-B24)/B44+B26*(1-B26)/B43))</f>
        <v>0.322076256263711</v>
      </c>
      <c r="C29" s="18" t="n">
        <f aca="false">NORMSDIST((ABS(C26-C24)-$B$10*SQRT(C45*(1-C45)*(1/C44+1/C43)))/SQRT(C24*(1-C24)/C44+C26*(1-C26)/C43))</f>
        <v>0.0506120133084721</v>
      </c>
      <c r="D29" s="18" t="n">
        <f aca="false">NORMSDIST((ABS(D26-D24)-$B$10*SQRT(D45*(1-D45)*(1/D44+1/D43)))/SQRT(D24*(1-D24)/D44+D26*(1-D26)/D43))</f>
        <v>0.0260067764439741</v>
      </c>
      <c r="E29" s="8" t="s">
        <v>53</v>
      </c>
      <c r="F29" s="2"/>
    </row>
    <row r="30" customFormat="false" ht="15" hidden="false" customHeight="false" outlineLevel="0" collapsed="false">
      <c r="A30" s="6" t="s">
        <v>54</v>
      </c>
      <c r="B30" s="16" t="n">
        <f aca="false">B50/B24</f>
        <v>0.309686211710248</v>
      </c>
      <c r="C30" s="16" t="n">
        <f aca="false">C50/C24</f>
        <v>0.413318181612153</v>
      </c>
      <c r="D30" s="16" t="n">
        <f aca="false">D50/D24</f>
        <v>0.776701739625666</v>
      </c>
      <c r="E30" s="8" t="s">
        <v>55</v>
      </c>
      <c r="F30" s="2"/>
    </row>
    <row r="31" customFormat="false" ht="15" hidden="false" customHeight="false" outlineLevel="0" collapsed="false">
      <c r="A31" s="6" t="s">
        <v>56</v>
      </c>
      <c r="B31" s="16" t="n">
        <f aca="false">B30/B20</f>
        <v>0.516143686183747</v>
      </c>
      <c r="C31" s="16" t="n">
        <f aca="false">C30/C20</f>
        <v>0.688863636020255</v>
      </c>
      <c r="D31" s="16" t="n">
        <f aca="false">D30/D20</f>
        <v>1.29450289937611</v>
      </c>
      <c r="E31" s="8" t="s">
        <v>57</v>
      </c>
      <c r="F31" s="2"/>
    </row>
    <row r="32" customFormat="false" ht="19.5" hidden="false" customHeight="true" outlineLevel="0" collapsed="false">
      <c r="A32" s="6" t="s">
        <v>58</v>
      </c>
      <c r="B32" s="19" t="str">
        <f aca="false">IF(B29&gt;=$B$6,"SÍ","NO")</f>
        <v>NO</v>
      </c>
      <c r="C32" s="19" t="str">
        <f aca="false">IF(C29&gt;=$B$6,"SÍ","NO")</f>
        <v>NO</v>
      </c>
      <c r="D32" s="19" t="str">
        <f aca="false">IF(D29&gt;=$B$6,"SÍ","NO")</f>
        <v>NO</v>
      </c>
      <c r="E32" s="8" t="s">
        <v>59</v>
      </c>
      <c r="F32" s="2"/>
    </row>
    <row r="33" customFormat="false" ht="15" hidden="false" customHeight="false" outlineLevel="0" collapsed="false">
      <c r="A33" s="20" t="s">
        <v>60</v>
      </c>
      <c r="B33" s="21" t="s">
        <v>20</v>
      </c>
      <c r="C33" s="21" t="s">
        <v>21</v>
      </c>
      <c r="D33" s="21" t="s">
        <v>22</v>
      </c>
      <c r="E33" s="21" t="s">
        <v>39</v>
      </c>
      <c r="F33" s="2"/>
    </row>
    <row r="34" customFormat="false" ht="15" hidden="false" customHeight="false" outlineLevel="0" collapsed="false">
      <c r="A34" s="6" t="s">
        <v>61</v>
      </c>
      <c r="B34" s="22" t="n">
        <f aca="false">IF(B25=0,"n/a",ROUNDUP((((($B$10*SQRT(((B24+B42*B26)/(1+B42))*(1-((B24+B42*B26)/(1+B42)))*(1+1/B42))+$B$11*SQRT(B24*(1-B24)+B26*(1-B26)/B42))^2)/(B26-B24)^2)*(1+B42))/(1-$B$8),0))</f>
        <v>28040</v>
      </c>
      <c r="C34" s="22" t="n">
        <f aca="false">IF(C25=0,"n/a",ROUNDUP((((($B$10*SQRT(((C24+C42*C26)/(1+C42))*(1-((C24+C42*C26)/(1+C42)))*(1+1/C42))+$B$11*SQRT(C24*(1-C24)+C26*(1-C26)/C42))^2)/(C26-C24)^2)*(1+C42))/(1-$B$8),0))</f>
        <v>183619</v>
      </c>
      <c r="D34" s="22" t="n">
        <f aca="false">IF(D25=0,"n/a",ROUNDUP((((($B$10*SQRT(((D24+D42*D26)/(1+D42))*(1-((D24+D42*D26)/(1+D42)))*(1+1/D42))+$B$11*SQRT(D24*(1-D24)+D26*(1-D26)/D42))^2)/(D26-D24)^2)*(1+D42))/(1-$B$8),0))</f>
        <v>514749</v>
      </c>
      <c r="E34" s="8" t="s">
        <v>62</v>
      </c>
      <c r="F34" s="2"/>
    </row>
    <row r="35" customFormat="false" ht="42" hidden="false" customHeight="true" outlineLevel="0" collapsed="false">
      <c r="A35" s="6" t="s">
        <v>63</v>
      </c>
      <c r="B35" s="23" t="str">
        <f aca="false">IF(ISNUMBER(B34),IF(B34&lt;=B15,"Sí cabe en tu tope","No cabe: faltan "&amp;TEXT(B34-B15,"#,##0")),"n/a")</f>
        <v>No cabe: faltan 18,040</v>
      </c>
      <c r="C35" s="23" t="str">
        <f aca="false">IF(ISNUMBER(C34),IF(C34&lt;=C15,"Sí cabe en tu tope","No cabe: faltan "&amp;TEXT(C34-C15,"#,##0")),"n/a")</f>
        <v>No cabe: faltan 173,619</v>
      </c>
      <c r="D35" s="23" t="str">
        <f aca="false">IF(ISNUMBER(D34),IF(D34&lt;=D15,"Sí cabe en tu tope","No cabe: faltan "&amp;TEXT(D34-D15,"#,##0")),"n/a")</f>
        <v>No cabe: faltan 504,749</v>
      </c>
      <c r="E35" s="8" t="s">
        <v>64</v>
      </c>
      <c r="F35" s="2"/>
    </row>
    <row r="36" customFormat="false" ht="30" hidden="false" customHeight="true" outlineLevel="0" collapsed="false">
      <c r="A36" s="6" t="s">
        <v>65</v>
      </c>
      <c r="B36" s="24" t="n">
        <f aca="false">IF(COUNTIF(B54:B65,"&gt;="&amp;$B$6)=0,"&gt;12",COUNTIF(B54:B65,"&lt;"&amp;$B$6)+1)</f>
        <v>3</v>
      </c>
      <c r="C36" s="24" t="str">
        <f aca="false">IF(COUNTIF(C54:C65,"&gt;="&amp;$B$6)=0,"&gt;12",COUNTIF(C54:C65,"&lt;"&amp;$B$6)+1)</f>
        <v>&gt;12</v>
      </c>
      <c r="D36" s="24" t="str">
        <f aca="false">IF(COUNTIF(D54:D65,"&gt;="&amp;$B$6)=0,"&gt;12",COUNTIF(D54:D65,"&lt;"&amp;$B$6)+1)</f>
        <v>&gt;12</v>
      </c>
      <c r="E36" s="8" t="s">
        <v>66</v>
      </c>
      <c r="F36" s="2"/>
    </row>
    <row r="37" customFormat="false" ht="55.5" hidden="false" customHeight="true" outlineLevel="0" collapsed="false">
      <c r="A37" s="6" t="s">
        <v>67</v>
      </c>
      <c r="B37" s="19" t="str">
        <f aca="false">IF(B32="SÍ","Corre el experimento con tu tope.",IF(ISNUMBER(B36),"Alarga la ventana a "&amp;B36&amp;" meses.","No alcanza ni a 12 meses: prueba menos tiers o espera un lift mayor."))</f>
        <v>Alarga la ventana a 3 meses.</v>
      </c>
      <c r="C37" s="19" t="str">
        <f aca="false">IF(C32="SÍ","Corre el experimento con tu tope.",IF(ISNUMBER(C36),"Alarga la ventana a "&amp;C36&amp;" meses.","No alcanza ni a 12 meses: prueba menos tiers o espera un lift mayor."))</f>
        <v>No alcanza ni a 12 meses: prueba menos tiers o espera un lift mayor.</v>
      </c>
      <c r="D37" s="19" t="str">
        <f aca="false">IF(D32="SÍ","Corre el experimento con tu tope.",IF(ISNUMBER(D36),"Alarga la ventana a "&amp;D36&amp;" meses.","No alcanza ni a 12 meses: prueba menos tiers o espera un lift mayor."))</f>
        <v>No alcanza ni a 12 meses: prueba menos tiers o espera un lift mayor.</v>
      </c>
      <c r="E37" s="8" t="s">
        <v>68</v>
      </c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</row>
    <row r="41" customFormat="false" ht="15" hidden="false" customHeight="false" outlineLevel="0" collapsed="false">
      <c r="A41" s="4" t="s">
        <v>69</v>
      </c>
      <c r="B41" s="5" t="s">
        <v>20</v>
      </c>
      <c r="C41" s="5" t="s">
        <v>21</v>
      </c>
      <c r="D41" s="5" t="s">
        <v>22</v>
      </c>
      <c r="E41" s="5" t="s">
        <v>70</v>
      </c>
      <c r="F41" s="2"/>
    </row>
    <row r="42" customFormat="false" ht="15" hidden="false" customHeight="false" outlineLevel="0" collapsed="false">
      <c r="A42" s="6" t="s">
        <v>71</v>
      </c>
      <c r="B42" s="25" t="n">
        <f aca="false">B16/(1-B16)</f>
        <v>1</v>
      </c>
      <c r="C42" s="25" t="n">
        <f aca="false">C16/(1-C16)</f>
        <v>1</v>
      </c>
      <c r="D42" s="25" t="n">
        <f aca="false">D16/(1-D16)</f>
        <v>1</v>
      </c>
      <c r="E42" s="8" t="s">
        <v>72</v>
      </c>
      <c r="F42" s="2"/>
    </row>
    <row r="43" customFormat="false" ht="15" hidden="false" customHeight="false" outlineLevel="0" collapsed="false">
      <c r="A43" s="6" t="s">
        <v>73</v>
      </c>
      <c r="B43" s="17" t="n">
        <f aca="false">B15*B16*(1-$B$8)</f>
        <v>4750</v>
      </c>
      <c r="C43" s="17" t="n">
        <f aca="false">C15*C16*(1-$B$8)</f>
        <v>4750</v>
      </c>
      <c r="D43" s="17" t="n">
        <f aca="false">D15*D16*(1-$B$8)</f>
        <v>4750</v>
      </c>
      <c r="E43" s="8" t="s">
        <v>74</v>
      </c>
      <c r="F43" s="2"/>
    </row>
    <row r="44" customFormat="false" ht="15" hidden="false" customHeight="false" outlineLevel="0" collapsed="false">
      <c r="A44" s="6" t="s">
        <v>75</v>
      </c>
      <c r="B44" s="17" t="n">
        <f aca="false">B15*(1-B16)*(1-$B$8)</f>
        <v>4750</v>
      </c>
      <c r="C44" s="17" t="n">
        <f aca="false">C15*(1-C16)*(1-$B$8)</f>
        <v>4750</v>
      </c>
      <c r="D44" s="17" t="n">
        <f aca="false">D15*(1-D16)*(1-$B$8)</f>
        <v>4750</v>
      </c>
      <c r="E44" s="8" t="s">
        <v>76</v>
      </c>
      <c r="F44" s="2"/>
    </row>
    <row r="45" customFormat="false" ht="15" hidden="false" customHeight="false" outlineLevel="0" collapsed="false">
      <c r="A45" s="6" t="s">
        <v>77</v>
      </c>
      <c r="B45" s="12" t="n">
        <f aca="false">(B44*B24+B43*B26)/(B44+B43)</f>
        <v>0.0545000000000001</v>
      </c>
      <c r="C45" s="12" t="n">
        <f aca="false">(C44*C24+C43*C26)/(C44+C43)</f>
        <v>0.03135</v>
      </c>
      <c r="D45" s="12" t="n">
        <f aca="false">(D44*D24+D43*D26)/(D44+D43)</f>
        <v>0.00955000000000001</v>
      </c>
      <c r="E45" s="8" t="s">
        <v>78</v>
      </c>
      <c r="F45" s="2"/>
    </row>
    <row r="46" customFormat="false" ht="15" hidden="false" customHeight="false" outlineLevel="0" collapsed="false">
      <c r="A46" s="6" t="s">
        <v>79</v>
      </c>
      <c r="B46" s="12" t="n">
        <f aca="false">($B$10+$B$11)*SQRT(B24*(1-B24)*(1/B44+1/B43))</f>
        <v>0.0144700477174636</v>
      </c>
      <c r="C46" s="12" t="n">
        <f aca="false">($B$10+$B$11)*SQRT(C24*(1-C24)*(1/C44+1/C43))</f>
        <v>0.0113258199429158</v>
      </c>
      <c r="D46" s="12" t="n">
        <f aca="false">($B$10+$B$11)*SQRT(D24*(1-D24)*(1/D44+1/D43))</f>
        <v>0.00660603325734122</v>
      </c>
      <c r="E46" s="8" t="s">
        <v>80</v>
      </c>
      <c r="F46" s="2"/>
    </row>
    <row r="47" customFormat="false" ht="15" hidden="false" customHeight="false" outlineLevel="0" collapsed="false">
      <c r="A47" s="6" t="s">
        <v>81</v>
      </c>
      <c r="B47" s="12" t="n">
        <f aca="false">$B$10*SQRT(((B44*B24+B43*(B24+B46))/(B44+B43))*(1-((B44*B24+B43*(B24+B46))/(B44+B43)))*(1/B44+1/B43))+$B$11*SQRT(B24*(1-B24)/B44+(B24+B46)*(1-B24-B46)/B43)</f>
        <v>0.0154205904175831</v>
      </c>
      <c r="C47" s="12" t="n">
        <f aca="false">$B$10*SQRT(((C44*C24+C43*(C24+C46))/(C44+C43))*(1-((C44*C24+C43*(C24+C46))/(C44+C43)))*(1/C44+1/C43))+$B$11*SQRT(C24*(1-C24)/C44+(C24+C46)*(1-C24-C46)/C43)</f>
        <v>0.0123109990740818</v>
      </c>
      <c r="D47" s="12" t="n">
        <f aca="false">$B$10*SQRT(((D44*D24+D43*(D24+D46))/(D44+D43))*(1-((D44*D24+D43*(D24+D46))/(D44+D43)))*(1/D44+1/D43))+$B$11*SQRT(D24*(1-D24)/D44+(D24+D46)*(1-D24-D46)/D43)</f>
        <v>0.00760576962692852</v>
      </c>
      <c r="E47" s="2"/>
      <c r="F47" s="2"/>
    </row>
    <row r="48" customFormat="false" ht="15" hidden="false" customHeight="false" outlineLevel="0" collapsed="false">
      <c r="A48" s="6" t="s">
        <v>82</v>
      </c>
      <c r="B48" s="12" t="n">
        <f aca="false">$B$10*SQRT(((B44*B24+B43*(B24+B47))/(B44+B43))*(1-((B44*B24+B43*(B24+B47))/(B44+B43)))*(1/B44+1/B43))+$B$11*SQRT(B24*(1-B24)/B44+(B24+B47)*(1-B24-B47)/B43)</f>
        <v>0.0154803316438639</v>
      </c>
      <c r="C48" s="12" t="n">
        <f aca="false">$B$10*SQRT(((C44*C24+C43*(C24+C47))/(C44+C43))*(1-((C44*C24+C43*(C24+C47))/(C44+C43)))*(1/C44+1/C43))+$B$11*SQRT(C24*(1-C24)/C44+(C24+C47)*(1-C24-C47)/C43)</f>
        <v>0.012392313574853</v>
      </c>
      <c r="D48" s="12" t="n">
        <f aca="false">$B$10*SQRT(((D44*D24+D43*(D24+D47))/(D44+D43))*(1-((D44*D24+D43*(D24+D47))/(D44+D43)))*(1/D44+1/D43))+$B$11*SQRT(D24*(1-D24)/D44+(D24+D47)*(1-D24-D47)/D43)</f>
        <v>0.00774515165979732</v>
      </c>
      <c r="E48" s="2"/>
      <c r="F48" s="2"/>
    </row>
    <row r="49" customFormat="false" ht="15" hidden="false" customHeight="false" outlineLevel="0" collapsed="false">
      <c r="A49" s="6" t="s">
        <v>83</v>
      </c>
      <c r="B49" s="12" t="n">
        <f aca="false">$B$10*SQRT(((B44*B24+B43*(B24+B48))/(B44+B43))*(1-((B44*B24+B43*(B24+B48))/(B44+B43)))*(1/B44+1/B43))+$B$11*SQRT(B24*(1-B24)/B44+(B24+B48)*(1-B24-B48)/B43)</f>
        <v>0.015484075950343</v>
      </c>
      <c r="C49" s="12" t="n">
        <f aca="false">$B$10*SQRT(((C44*C24+C43*(C24+C48))/(C44+C43))*(1-((C44*C24+C43*(C24+C48))/(C44+C43)))*(1/C44+1/C43))+$B$11*SQRT(C24*(1-C24)/C44+(C24+C48)*(1-C24-C48)/C43)</f>
        <v>0.0123989964120841</v>
      </c>
      <c r="D49" s="12" t="n">
        <f aca="false">$B$10*SQRT(((D44*D24+D43*(D24+D48))/(D44+D43))*(1-((D44*D24+D43*(D24+D48))/(D44+D43)))*(1/D44+1/D43))+$B$11*SQRT(D24*(1-D24)/D44+(D24+D48)*(1-D24-D48)/D43)</f>
        <v>0.00776437119734043</v>
      </c>
      <c r="E49" s="2"/>
      <c r="F49" s="2"/>
    </row>
    <row r="50" customFormat="false" ht="15" hidden="false" customHeight="false" outlineLevel="0" collapsed="false">
      <c r="A50" s="6" t="s">
        <v>84</v>
      </c>
      <c r="B50" s="12" t="n">
        <f aca="false">$B$10*SQRT(((B44*B24+B43*(B24+B49))/(B44+B43))*(1-((B44*B24+B43*(B24+B49))/(B44+B43)))*(1/B44+1/B43))+$B$11*SQRT(B24*(1-B24)/B44+(B24+B49)*(1-B24-B49)/B43)</f>
        <v>0.0154843105855124</v>
      </c>
      <c r="C50" s="12" t="n">
        <f aca="false">$B$10*SQRT(((C44*C24+C43*(C24+C49))/(C44+C43))*(1-((C44*C24+C43*(C24+C49))/(C44+C43)))*(1/C44+1/C43))+$B$11*SQRT(C24*(1-C24)/C44+(C24+C49)*(1-C24-C49)/C43)</f>
        <v>0.0123995454483646</v>
      </c>
      <c r="D50" s="12" t="n">
        <f aca="false">$B$10*SQRT(((D44*D24+D43*(D24+D49))/(D44+D43))*(1-((D44*D24+D43*(D24+D49))/(D44+D43)))*(1/D44+1/D43))+$B$11*SQRT(D24*(1-D24)/D44+(D24+D49)*(1-D24-D49)/D43)</f>
        <v>0.00776701739625667</v>
      </c>
      <c r="E50" s="8" t="s">
        <v>85</v>
      </c>
      <c r="F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</row>
    <row r="52" customFormat="false" ht="15" hidden="false" customHeight="false" outlineLevel="0" collapsed="false">
      <c r="A52" s="20" t="s">
        <v>86</v>
      </c>
      <c r="B52" s="21" t="s">
        <v>20</v>
      </c>
      <c r="C52" s="21" t="s">
        <v>21</v>
      </c>
      <c r="D52" s="21" t="s">
        <v>22</v>
      </c>
      <c r="E52" s="21" t="s">
        <v>87</v>
      </c>
      <c r="F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</row>
    <row r="54" customFormat="false" ht="15" hidden="false" customHeight="false" outlineLevel="0" collapsed="false">
      <c r="A54" s="26" t="n">
        <v>1</v>
      </c>
      <c r="B54" s="16" t="n">
        <f aca="false">IFERROR(NORMSDIST((ABS(MIN((1-(1-B$23)^$A54)*(1+B$25),0.999)-(1-(1-B$23)^$A54))-$B$10*SQRT(((B$44*(1-(1-B$23)^$A54)+B$43*MIN((1-(1-B$23)^$A54)*(1+B$25),0.999))/(B$44+B$43))*(1-((B$44*(1-(1-B$23)^$A54)+B$43*MIN((1-(1-B$23)^$A54)*(1+B$25),0.999))/(B$44+B$43)))*(1/B$44+1/B$43)))/SQRT((1-(1-B$23)^$A54)*(1-(1-(1-B$23)^$A54))/B$44+MIN((1-(1-B$23)^$A54)*(1+B$25),0.999)*(1-MIN((1-(1-B$23)^$A54)*(1+B$25),0.999))/B$43)),0)</f>
        <v>0.322076256263711</v>
      </c>
      <c r="C54" s="16" t="n">
        <f aca="false">IFERROR(NORMSDIST((ABS(MIN((1-(1-C$23)^$A54)*(1+C$25),0.999)-(1-(1-C$23)^$A54))-$B$10*SQRT(((C$44*(1-(1-C$23)^$A54)+C$43*MIN((1-(1-C$23)^$A54)*(1+C$25),0.999))/(C$44+C$43))*(1-((C$44*(1-(1-C$23)^$A54)+C$43*MIN((1-(1-C$23)^$A54)*(1+C$25),0.999))/(C$44+C$43)))*(1/C$44+1/C$43)))/SQRT((1-(1-C$23)^$A54)*(1-(1-(1-C$23)^$A54))/C$44+MIN((1-(1-C$23)^$A54)*(1+C$25),0.999)*(1-MIN((1-(1-C$23)^$A54)*(1+C$25),0.999))/C$43)),0)</f>
        <v>0.0506120133084721</v>
      </c>
      <c r="D54" s="16" t="n">
        <f aca="false">IFERROR(NORMSDIST((ABS(MIN((1-(1-D$23)^$A54)*(1+D$25),0.999)-(1-(1-D$23)^$A54))-$B$10*SQRT(((D$44*(1-(1-D$23)^$A54)+D$43*MIN((1-(1-D$23)^$A54)*(1+D$25),0.999))/(D$44+D$43))*(1-((D$44*(1-(1-D$23)^$A54)+D$43*MIN((1-(1-D$23)^$A54)*(1+D$25),0.999))/(D$44+D$43)))*(1/D$44+1/D$43)))/SQRT((1-(1-D$23)^$A54)*(1-(1-(1-D$23)^$A54))/D$44+MIN((1-(1-D$23)^$A54)*(1+D$25),0.999)*(1-MIN((1-(1-D$23)^$A54)*(1+D$25),0.999))/D$43)),0)</f>
        <v>0.0260067764439741</v>
      </c>
      <c r="E54" s="2"/>
      <c r="F54" s="2"/>
    </row>
    <row r="55" customFormat="false" ht="15" hidden="false" customHeight="false" outlineLevel="0" collapsed="false">
      <c r="A55" s="26" t="n">
        <v>2</v>
      </c>
      <c r="B55" s="16" t="n">
        <f aca="false">IFERROR(NORMSDIST((ABS(MIN((1-(1-B$23)^$A55)*(1+B$25),0.999)-(1-(1-B$23)^$A55))-$B$10*SQRT(((B$44*(1-(1-B$23)^$A55)+B$43*MIN((1-(1-B$23)^$A55)*(1+B$25),0.999))/(B$44+B$43))*(1-((B$44*(1-(1-B$23)^$A55)+B$43*MIN((1-(1-B$23)^$A55)*(1+B$25),0.999))/(B$44+B$43)))*(1/B$44+1/B$43)))/SQRT((1-(1-B$23)^$A55)*(1-(1-(1-B$23)^$A55))/B$44+MIN((1-(1-B$23)^$A55)*(1+B$25),0.999)*(1-MIN((1-(1-B$23)^$A55)*(1+B$25),0.999))/B$43)),0)</f>
        <v>0.648530625309196</v>
      </c>
      <c r="C55" s="16" t="n">
        <f aca="false">IFERROR(NORMSDIST((ABS(MIN((1-(1-C$23)^$A55)*(1+C$25),0.999)-(1-(1-C$23)^$A55))-$B$10*SQRT(((C$44*(1-(1-C$23)^$A55)+C$43*MIN((1-(1-C$23)^$A55)*(1+C$25),0.999))/(C$44+C$43))*(1-((C$44*(1-(1-C$23)^$A55)+C$43*MIN((1-(1-C$23)^$A55)*(1+C$25),0.999))/(C$44+C$43)))*(1/C$44+1/C$43)))/SQRT((1-(1-C$23)^$A55)*(1-(1-(1-C$23)^$A55))/C$44+MIN((1-(1-C$23)^$A55)*(1+C$25),0.999)*(1-MIN((1-(1-C$23)^$A55)*(1+C$25),0.999))/C$43)),0)</f>
        <v>0.0938830966435802</v>
      </c>
      <c r="D55" s="16" t="n">
        <f aca="false">IFERROR(NORMSDIST((ABS(MIN((1-(1-D$23)^$A55)*(1+D$25),0.999)-(1-(1-D$23)^$A55))-$B$10*SQRT(((D$44*(1-(1-D$23)^$A55)+D$43*MIN((1-(1-D$23)^$A55)*(1+D$25),0.999))/(D$44+D$43))*(1-((D$44*(1-(1-D$23)^$A55)+D$43*MIN((1-(1-D$23)^$A55)*(1+D$25),0.999))/(D$44+D$43)))*(1/D$44+1/D$43)))/SQRT((1-(1-D$23)^$A55)*(1-(1-(1-D$23)^$A55))/D$44+MIN((1-(1-D$23)^$A55)*(1+D$25),0.999)*(1-MIN((1-(1-D$23)^$A55)*(1+D$25),0.999))/D$43)),0)</f>
        <v>0.039648899805351</v>
      </c>
      <c r="E55" s="2"/>
      <c r="F55" s="2"/>
    </row>
    <row r="56" customFormat="false" ht="15" hidden="false" customHeight="false" outlineLevel="0" collapsed="false">
      <c r="A56" s="26" t="n">
        <v>3</v>
      </c>
      <c r="B56" s="16" t="n">
        <f aca="false">IFERROR(NORMSDIST((ABS(MIN((1-(1-B$23)^$A56)*(1+B$25),0.999)-(1-(1-B$23)^$A56))-$B$10*SQRT(((B$44*(1-(1-B$23)^$A56)+B$43*MIN((1-(1-B$23)^$A56)*(1+B$25),0.999))/(B$44+B$43))*(1-((B$44*(1-(1-B$23)^$A56)+B$43*MIN((1-(1-B$23)^$A56)*(1+B$25),0.999))/(B$44+B$43)))*(1/B$44+1/B$43)))/SQRT((1-(1-B$23)^$A56)*(1-(1-(1-B$23)^$A56))/B$44+MIN((1-(1-B$23)^$A56)*(1+B$25),0.999)*(1-MIN((1-(1-B$23)^$A56)*(1+B$25),0.999))/B$43)),0)</f>
        <v>0.855324473869813</v>
      </c>
      <c r="C56" s="16" t="n">
        <f aca="false">IFERROR(NORMSDIST((ABS(MIN((1-(1-C$23)^$A56)*(1+C$25),0.999)-(1-(1-C$23)^$A56))-$B$10*SQRT(((C$44*(1-(1-C$23)^$A56)+C$43*MIN((1-(1-C$23)^$A56)*(1+C$25),0.999))/(C$44+C$43))*(1-((C$44*(1-(1-C$23)^$A56)+C$43*MIN((1-(1-C$23)^$A56)*(1+C$25),0.999))/(C$44+C$43)))*(1/C$44+1/C$43)))/SQRT((1-(1-C$23)^$A56)*(1-(1-(1-C$23)^$A56))/C$44+MIN((1-(1-C$23)^$A56)*(1+C$25),0.999)*(1-MIN((1-(1-C$23)^$A56)*(1+C$25),0.999))/C$43)),0)</f>
        <v>0.143659104798111</v>
      </c>
      <c r="D56" s="16" t="n">
        <f aca="false">IFERROR(NORMSDIST((ABS(MIN((1-(1-D$23)^$A56)*(1+D$25),0.999)-(1-(1-D$23)^$A56))-$B$10*SQRT(((D$44*(1-(1-D$23)^$A56)+D$43*MIN((1-(1-D$23)^$A56)*(1+D$25),0.999))/(D$44+D$43))*(1-((D$44*(1-(1-D$23)^$A56)+D$43*MIN((1-(1-D$23)^$A56)*(1+D$25),0.999))/(D$44+D$43)))*(1/D$44+1/D$43)))/SQRT((1-(1-D$23)^$A56)*(1-(1-(1-D$23)^$A56))/D$44+MIN((1-(1-D$23)^$A56)*(1+D$25),0.999)*(1-MIN((1-(1-D$23)^$A56)*(1+D$25),0.999))/D$43)),0)</f>
        <v>0.0537724436545908</v>
      </c>
      <c r="E56" s="2"/>
      <c r="F56" s="2"/>
    </row>
    <row r="57" customFormat="false" ht="15" hidden="false" customHeight="false" outlineLevel="0" collapsed="false">
      <c r="A57" s="26" t="n">
        <v>4</v>
      </c>
      <c r="B57" s="16" t="n">
        <f aca="false">IFERROR(NORMSDIST((ABS(MIN((1-(1-B$23)^$A57)*(1+B$25),0.999)-(1-(1-B$23)^$A57))-$B$10*SQRT(((B$44*(1-(1-B$23)^$A57)+B$43*MIN((1-(1-B$23)^$A57)*(1+B$25),0.999))/(B$44+B$43))*(1-((B$44*(1-(1-B$23)^$A57)+B$43*MIN((1-(1-B$23)^$A57)*(1+B$25),0.999))/(B$44+B$43)))*(1/B$44+1/B$43)))/SQRT((1-(1-B$23)^$A57)*(1-(1-(1-B$23)^$A57))/B$44+MIN((1-(1-B$23)^$A57)*(1+B$25),0.999)*(1-MIN((1-(1-B$23)^$A57)*(1+B$25),0.999))/B$43)),0)</f>
        <v>0.951427708514472</v>
      </c>
      <c r="C57" s="16" t="n">
        <f aca="false">IFERROR(NORMSDIST((ABS(MIN((1-(1-C$23)^$A57)*(1+C$25),0.999)-(1-(1-C$23)^$A57))-$B$10*SQRT(((C$44*(1-(1-C$23)^$A57)+C$43*MIN((1-(1-C$23)^$A57)*(1+C$25),0.999))/(C$44+C$43))*(1-((C$44*(1-(1-C$23)^$A57)+C$43*MIN((1-(1-C$23)^$A57)*(1+C$25),0.999))/(C$44+C$43)))*(1/C$44+1/C$43)))/SQRT((1-(1-C$23)^$A57)*(1-(1-(1-C$23)^$A57))/C$44+MIN((1-(1-C$23)^$A57)*(1+C$25),0.999)*(1-MIN((1-(1-C$23)^$A57)*(1+C$25),0.999))/C$43)),0)</f>
        <v>0.199017743143467</v>
      </c>
      <c r="D57" s="16" t="n">
        <f aca="false">IFERROR(NORMSDIST((ABS(MIN((1-(1-D$23)^$A57)*(1+D$25),0.999)-(1-(1-D$23)^$A57))-$B$10*SQRT(((D$44*(1-(1-D$23)^$A57)+D$43*MIN((1-(1-D$23)^$A57)*(1+D$25),0.999))/(D$44+D$43))*(1-((D$44*(1-(1-D$23)^$A57)+D$43*MIN((1-(1-D$23)^$A57)*(1+D$25),0.999))/(D$44+D$43)))*(1/D$44+1/D$43)))/SQRT((1-(1-D$23)^$A57)*(1-(1-(1-D$23)^$A57))/D$44+MIN((1-(1-D$23)^$A57)*(1+D$25),0.999)*(1-MIN((1-(1-D$23)^$A57)*(1+D$25),0.999))/D$43)),0)</f>
        <v>0.0686574926403583</v>
      </c>
      <c r="E57" s="2"/>
      <c r="F57" s="2"/>
    </row>
    <row r="58" customFormat="false" ht="15" hidden="false" customHeight="false" outlineLevel="0" collapsed="false">
      <c r="A58" s="26" t="n">
        <v>5</v>
      </c>
      <c r="B58" s="16" t="n">
        <f aca="false">IFERROR(NORMSDIST((ABS(MIN((1-(1-B$23)^$A58)*(1+B$25),0.999)-(1-(1-B$23)^$A58))-$B$10*SQRT(((B$44*(1-(1-B$23)^$A58)+B$43*MIN((1-(1-B$23)^$A58)*(1+B$25),0.999))/(B$44+B$43))*(1-((B$44*(1-(1-B$23)^$A58)+B$43*MIN((1-(1-B$23)^$A58)*(1+B$25),0.999))/(B$44+B$43)))*(1/B$44+1/B$43)))/SQRT((1-(1-B$23)^$A58)*(1-(1-(1-B$23)^$A58))/B$44+MIN((1-(1-B$23)^$A58)*(1+B$25),0.999)*(1-MIN((1-(1-B$23)^$A58)*(1+B$25),0.999))/B$43)),0)</f>
        <v>0.986534104343037</v>
      </c>
      <c r="C58" s="16" t="n">
        <f aca="false">IFERROR(NORMSDIST((ABS(MIN((1-(1-C$23)^$A58)*(1+C$25),0.999)-(1-(1-C$23)^$A58))-$B$10*SQRT(((C$44*(1-(1-C$23)^$A58)+C$43*MIN((1-(1-C$23)^$A58)*(1+C$25),0.999))/(C$44+C$43))*(1-((C$44*(1-(1-C$23)^$A58)+C$43*MIN((1-(1-C$23)^$A58)*(1+C$25),0.999))/(C$44+C$43)))*(1/C$44+1/C$43)))/SQRT((1-(1-C$23)^$A58)*(1-(1-(1-C$23)^$A58))/C$44+MIN((1-(1-C$23)^$A58)*(1+C$25),0.999)*(1-MIN((1-(1-C$23)^$A58)*(1+C$25),0.999))/C$43)),0)</f>
        <v>0.258692789591655</v>
      </c>
      <c r="D58" s="16" t="n">
        <f aca="false">IFERROR(NORMSDIST((ABS(MIN((1-(1-D$23)^$A58)*(1+D$25),0.999)-(1-(1-D$23)^$A58))-$B$10*SQRT(((D$44*(1-(1-D$23)^$A58)+D$43*MIN((1-(1-D$23)^$A58)*(1+D$25),0.999))/(D$44+D$43))*(1-((D$44*(1-(1-D$23)^$A58)+D$43*MIN((1-(1-D$23)^$A58)*(1+D$25),0.999))/(D$44+D$43)))*(1/D$44+1/D$43)))/SQRT((1-(1-D$23)^$A58)*(1-(1-(1-D$23)^$A58))/D$44+MIN((1-(1-D$23)^$A58)*(1+D$25),0.999)*(1-MIN((1-(1-D$23)^$A58)*(1+D$25),0.999))/D$43)),0)</f>
        <v>0.084357351243645</v>
      </c>
      <c r="E58" s="2"/>
      <c r="F58" s="2"/>
    </row>
    <row r="59" customFormat="false" ht="15" hidden="false" customHeight="false" outlineLevel="0" collapsed="false">
      <c r="A59" s="26" t="n">
        <v>6</v>
      </c>
      <c r="B59" s="16" t="n">
        <f aca="false">IFERROR(NORMSDIST((ABS(MIN((1-(1-B$23)^$A59)*(1+B$25),0.999)-(1-(1-B$23)^$A59))-$B$10*SQRT(((B$44*(1-(1-B$23)^$A59)+B$43*MIN((1-(1-B$23)^$A59)*(1+B$25),0.999))/(B$44+B$43))*(1-((B$44*(1-(1-B$23)^$A59)+B$43*MIN((1-(1-B$23)^$A59)*(1+B$25),0.999))/(B$44+B$43)))*(1/B$44+1/B$43)))/SQRT((1-(1-B$23)^$A59)*(1-(1-(1-B$23)^$A59))/B$44+MIN((1-(1-B$23)^$A59)*(1+B$25),0.999)*(1-MIN((1-(1-B$23)^$A59)*(1+B$25),0.999))/B$43)),0)</f>
        <v>0.996905244060923</v>
      </c>
      <c r="C59" s="16" t="n">
        <f aca="false">IFERROR(NORMSDIST((ABS(MIN((1-(1-C$23)^$A59)*(1+C$25),0.999)-(1-(1-C$23)^$A59))-$B$10*SQRT(((C$44*(1-(1-C$23)^$A59)+C$43*MIN((1-(1-C$23)^$A59)*(1+C$25),0.999))/(C$44+C$43))*(1-((C$44*(1-(1-C$23)^$A59)+C$43*MIN((1-(1-C$23)^$A59)*(1+C$25),0.999))/(C$44+C$43)))*(1/C$44+1/C$43)))/SQRT((1-(1-C$23)^$A59)*(1-(1-(1-C$23)^$A59))/C$44+MIN((1-(1-C$23)^$A59)*(1+C$25),0.999)*(1-MIN((1-(1-C$23)^$A59)*(1+C$25),0.999))/C$43)),0)</f>
        <v>0.321309020930109</v>
      </c>
      <c r="D59" s="16" t="n">
        <f aca="false">IFERROR(NORMSDIST((ABS(MIN((1-(1-D$23)^$A59)*(1+D$25),0.999)-(1-(1-D$23)^$A59))-$B$10*SQRT(((D$44*(1-(1-D$23)^$A59)+D$43*MIN((1-(1-D$23)^$A59)*(1+D$25),0.999))/(D$44+D$43))*(1-((D$44*(1-(1-D$23)^$A59)+D$43*MIN((1-(1-D$23)^$A59)*(1+D$25),0.999))/(D$44+D$43)))*(1/D$44+1/D$43)))/SQRT((1-(1-D$23)^$A59)*(1-(1-(1-D$23)^$A59))/D$44+MIN((1-(1-D$23)^$A59)*(1+D$25),0.999)*(1-MIN((1-(1-D$23)^$A59)*(1+D$25),0.999))/D$43)),0)</f>
        <v>0.10086207082924</v>
      </c>
      <c r="E59" s="2"/>
      <c r="F59" s="2"/>
    </row>
    <row r="60" customFormat="false" ht="15" hidden="false" customHeight="false" outlineLevel="0" collapsed="false">
      <c r="A60" s="26" t="n">
        <v>7</v>
      </c>
      <c r="B60" s="16" t="n">
        <f aca="false">IFERROR(NORMSDIST((ABS(MIN((1-(1-B$23)^$A60)*(1+B$25),0.999)-(1-(1-B$23)^$A60))-$B$10*SQRT(((B$44*(1-(1-B$23)^$A60)+B$43*MIN((1-(1-B$23)^$A60)*(1+B$25),0.999))/(B$44+B$43))*(1-((B$44*(1-(1-B$23)^$A60)+B$43*MIN((1-(1-B$23)^$A60)*(1+B$25),0.999))/(B$44+B$43)))*(1/B$44+1/B$43)))/SQRT((1-(1-B$23)^$A60)*(1-(1-(1-B$23)^$A60))/B$44+MIN((1-(1-B$23)^$A60)*(1+B$25),0.999)*(1-MIN((1-(1-B$23)^$A60)*(1+B$25),0.999))/B$43)),0)</f>
        <v>0.999411332147072</v>
      </c>
      <c r="C60" s="16" t="n">
        <f aca="false">IFERROR(NORMSDIST((ABS(MIN((1-(1-C$23)^$A60)*(1+C$25),0.999)-(1-(1-C$23)^$A60))-$B$10*SQRT(((C$44*(1-(1-C$23)^$A60)+C$43*MIN((1-(1-C$23)^$A60)*(1+C$25),0.999))/(C$44+C$43))*(1-((C$44*(1-(1-C$23)^$A60)+C$43*MIN((1-(1-C$23)^$A60)*(1+C$25),0.999))/(C$44+C$43)))*(1/C$44+1/C$43)))/SQRT((1-(1-C$23)^$A60)*(1-(1-(1-C$23)^$A60))/C$44+MIN((1-(1-C$23)^$A60)*(1+C$25),0.999)*(1-MIN((1-(1-C$23)^$A60)*(1+C$25),0.999))/C$43)),0)</f>
        <v>0.385471506279525</v>
      </c>
      <c r="D60" s="16" t="n">
        <f aca="false">IFERROR(NORMSDIST((ABS(MIN((1-(1-D$23)^$A60)*(1+D$25),0.999)-(1-(1-D$23)^$A60))-$B$10*SQRT(((D$44*(1-(1-D$23)^$A60)+D$43*MIN((1-(1-D$23)^$A60)*(1+D$25),0.999))/(D$44+D$43))*(1-((D$44*(1-(1-D$23)^$A60)+D$43*MIN((1-(1-D$23)^$A60)*(1+D$25),0.999))/(D$44+D$43)))*(1/D$44+1/D$43)))/SQRT((1-(1-D$23)^$A60)*(1-(1-(1-D$23)^$A60))/D$44+MIN((1-(1-D$23)^$A60)*(1+D$25),0.999)*(1-MIN((1-(1-D$23)^$A60)*(1+D$25),0.999))/D$43)),0)</f>
        <v>0.118136637139437</v>
      </c>
      <c r="E60" s="2"/>
      <c r="F60" s="2"/>
    </row>
    <row r="61" customFormat="false" ht="15" hidden="false" customHeight="false" outlineLevel="0" collapsed="false">
      <c r="A61" s="26" t="n">
        <v>8</v>
      </c>
      <c r="B61" s="16" t="n">
        <f aca="false">IFERROR(NORMSDIST((ABS(MIN((1-(1-B$23)^$A61)*(1+B$25),0.999)-(1-(1-B$23)^$A61))-$B$10*SQRT(((B$44*(1-(1-B$23)^$A61)+B$43*MIN((1-(1-B$23)^$A61)*(1+B$25),0.999))/(B$44+B$43))*(1-((B$44*(1-(1-B$23)^$A61)+B$43*MIN((1-(1-B$23)^$A61)*(1+B$25),0.999))/(B$44+B$43)))*(1/B$44+1/B$43)))/SQRT((1-(1-B$23)^$A61)*(1-(1-(1-B$23)^$A61))/B$44+MIN((1-(1-B$23)^$A61)*(1+B$25),0.999)*(1-MIN((1-(1-B$23)^$A61)*(1+B$25),0.999))/B$43)),0)</f>
        <v>0.999907837749006</v>
      </c>
      <c r="C61" s="16" t="n">
        <f aca="false">IFERROR(NORMSDIST((ABS(MIN((1-(1-C$23)^$A61)*(1+C$25),0.999)-(1-(1-C$23)^$A61))-$B$10*SQRT(((C$44*(1-(1-C$23)^$A61)+C$43*MIN((1-(1-C$23)^$A61)*(1+C$25),0.999))/(C$44+C$43))*(1-((C$44*(1-(1-C$23)^$A61)+C$43*MIN((1-(1-C$23)^$A61)*(1+C$25),0.999))/(C$44+C$43)))*(1/C$44+1/C$43)))/SQRT((1-(1-C$23)^$A61)*(1-(1-(1-C$23)^$A61))/C$44+MIN((1-(1-C$23)^$A61)*(1+C$25),0.999)*(1-MIN((1-(1-C$23)^$A61)*(1+C$25),0.999))/C$43)),0)</f>
        <v>0.449827485387897</v>
      </c>
      <c r="D61" s="16" t="n">
        <f aca="false">IFERROR(NORMSDIST((ABS(MIN((1-(1-D$23)^$A61)*(1+D$25),0.999)-(1-(1-D$23)^$A61))-$B$10*SQRT(((D$44*(1-(1-D$23)^$A61)+D$43*MIN((1-(1-D$23)^$A61)*(1+D$25),0.999))/(D$44+D$43))*(1-((D$44*(1-(1-D$23)^$A61)+D$43*MIN((1-(1-D$23)^$A61)*(1+D$25),0.999))/(D$44+D$43)))*(1/D$44+1/D$43)))/SQRT((1-(1-D$23)^$A61)*(1-(1-(1-D$23)^$A61))/D$44+MIN((1-(1-D$23)^$A61)*(1+D$25),0.999)*(1-MIN((1-(1-D$23)^$A61)*(1+D$25),0.999))/D$43)),0)</f>
        <v>0.13613395893133</v>
      </c>
      <c r="E61" s="2"/>
      <c r="F61" s="2"/>
    </row>
    <row r="62" customFormat="false" ht="15" hidden="false" customHeight="false" outlineLevel="0" collapsed="false">
      <c r="A62" s="26" t="n">
        <v>9</v>
      </c>
      <c r="B62" s="16" t="n">
        <f aca="false">IFERROR(NORMSDIST((ABS(MIN((1-(1-B$23)^$A62)*(1+B$25),0.999)-(1-(1-B$23)^$A62))-$B$10*SQRT(((B$44*(1-(1-B$23)^$A62)+B$43*MIN((1-(1-B$23)^$A62)*(1+B$25),0.999))/(B$44+B$43))*(1-((B$44*(1-(1-B$23)^$A62)+B$43*MIN((1-(1-B$23)^$A62)*(1+B$25),0.999))/(B$44+B$43)))*(1/B$44+1/B$43)))/SQRT((1-(1-B$23)^$A62)*(1-(1-(1-B$23)^$A62))/B$44+MIN((1-(1-B$23)^$A62)*(1+B$25),0.999)*(1-MIN((1-(1-B$23)^$A62)*(1+B$25),0.999))/B$43)),0)</f>
        <v>0.999988227140586</v>
      </c>
      <c r="C62" s="16" t="n">
        <f aca="false">IFERROR(NORMSDIST((ABS(MIN((1-(1-C$23)^$A62)*(1+C$25),0.999)-(1-(1-C$23)^$A62))-$B$10*SQRT(((C$44*(1-(1-C$23)^$A62)+C$43*MIN((1-(1-C$23)^$A62)*(1+C$25),0.999))/(C$44+C$43))*(1-((C$44*(1-(1-C$23)^$A62)+C$43*MIN((1-(1-C$23)^$A62)*(1+C$25),0.999))/(C$44+C$43)))*(1/C$44+1/C$43)))/SQRT((1-(1-C$23)^$A62)*(1-(1-(1-C$23)^$A62))/C$44+MIN((1-(1-C$23)^$A62)*(1+C$25),0.999)*(1-MIN((1-(1-C$23)^$A62)*(1+C$25),0.999))/C$43)),0)</f>
        <v>0.513116896204362</v>
      </c>
      <c r="D62" s="16" t="n">
        <f aca="false">IFERROR(NORMSDIST((ABS(MIN((1-(1-D$23)^$A62)*(1+D$25),0.999)-(1-(1-D$23)^$A62))-$B$10*SQRT(((D$44*(1-(1-D$23)^$A62)+D$43*MIN((1-(1-D$23)^$A62)*(1+D$25),0.999))/(D$44+D$43))*(1-((D$44*(1-(1-D$23)^$A62)+D$43*MIN((1-(1-D$23)^$A62)*(1+D$25),0.999))/(D$44+D$43)))*(1/D$44+1/D$43)))/SQRT((1-(1-D$23)^$A62)*(1-(1-(1-D$23)^$A62))/D$44+MIN((1-(1-D$23)^$A62)*(1+D$25),0.999)*(1-MIN((1-(1-D$23)^$A62)*(1+D$25),0.999))/D$43)),0)</f>
        <v>0.15480036499496</v>
      </c>
      <c r="E62" s="2"/>
      <c r="F62" s="2"/>
    </row>
    <row r="63" customFormat="false" ht="15" hidden="false" customHeight="false" outlineLevel="0" collapsed="false">
      <c r="A63" s="26" t="n">
        <v>10</v>
      </c>
      <c r="B63" s="16" t="n">
        <f aca="false">IFERROR(NORMSDIST((ABS(MIN((1-(1-B$23)^$A63)*(1+B$25),0.999)-(1-(1-B$23)^$A63))-$B$10*SQRT(((B$44*(1-(1-B$23)^$A63)+B$43*MIN((1-(1-B$23)^$A63)*(1+B$25),0.999))/(B$44+B$43))*(1-((B$44*(1-(1-B$23)^$A63)+B$43*MIN((1-(1-B$23)^$A63)*(1+B$25),0.999))/(B$44+B$43)))*(1/B$44+1/B$43)))/SQRT((1-(1-B$23)^$A63)*(1-(1-(1-B$23)^$A63))/B$44+MIN((1-(1-B$23)^$A63)*(1+B$25),0.999)*(1-MIN((1-(1-B$23)^$A63)*(1+B$25),0.999))/B$43)),0)</f>
        <v>0.999998787016377</v>
      </c>
      <c r="C63" s="16" t="n">
        <f aca="false">IFERROR(NORMSDIST((ABS(MIN((1-(1-C$23)^$A63)*(1+C$25),0.999)-(1-(1-C$23)^$A63))-$B$10*SQRT(((C$44*(1-(1-C$23)^$A63)+C$43*MIN((1-(1-C$23)^$A63)*(1+C$25),0.999))/(C$44+C$43))*(1-((C$44*(1-(1-C$23)^$A63)+C$43*MIN((1-(1-C$23)^$A63)*(1+C$25),0.999))/(C$44+C$43)))*(1/C$44+1/C$43)))/SQRT((1-(1-C$23)^$A63)*(1-(1-(1-C$23)^$A63))/C$44+MIN((1-(1-C$23)^$A63)*(1+C$25),0.999)*(1-MIN((1-(1-C$23)^$A63)*(1+C$25),0.999))/C$43)),0)</f>
        <v>0.574213765368228</v>
      </c>
      <c r="D63" s="16" t="n">
        <f aca="false">IFERROR(NORMSDIST((ABS(MIN((1-(1-D$23)^$A63)*(1+D$25),0.999)-(1-(1-D$23)^$A63))-$B$10*SQRT(((D$44*(1-(1-D$23)^$A63)+D$43*MIN((1-(1-D$23)^$A63)*(1+D$25),0.999))/(D$44+D$43))*(1-((D$44*(1-(1-D$23)^$A63)+D$43*MIN((1-(1-D$23)^$A63)*(1+D$25),0.999))/(D$44+D$43)))*(1/D$44+1/D$43)))/SQRT((1-(1-D$23)^$A63)*(1-(1-(1-D$23)^$A63))/D$44+MIN((1-(1-D$23)^$A63)*(1+D$25),0.999)*(1-MIN((1-(1-D$23)^$A63)*(1+D$25),0.999))/D$43)),0)</f>
        <v>0.174078332095706</v>
      </c>
      <c r="E63" s="2"/>
      <c r="F63" s="2"/>
    </row>
    <row r="64" customFormat="false" ht="15" hidden="false" customHeight="false" outlineLevel="0" collapsed="false">
      <c r="A64" s="26" t="n">
        <v>11</v>
      </c>
      <c r="B64" s="16" t="n">
        <f aca="false">IFERROR(NORMSDIST((ABS(MIN((1-(1-B$23)^$A64)*(1+B$25),0.999)-(1-(1-B$23)^$A64))-$B$10*SQRT(((B$44*(1-(1-B$23)^$A64)+B$43*MIN((1-(1-B$23)^$A64)*(1+B$25),0.999))/(B$44+B$43))*(1-((B$44*(1-(1-B$23)^$A64)+B$43*MIN((1-(1-B$23)^$A64)*(1+B$25),0.999))/(B$44+B$43)))*(1/B$44+1/B$43)))/SQRT((1-(1-B$23)^$A64)*(1-(1-(1-B$23)^$A64))/B$44+MIN((1-(1-B$23)^$A64)*(1+B$25),0.999)*(1-MIN((1-(1-B$23)^$A64)*(1+B$25),0.999))/B$43)),0)</f>
        <v>0.999999900613897</v>
      </c>
      <c r="C64" s="16" t="n">
        <f aca="false">IFERROR(NORMSDIST((ABS(MIN((1-(1-C$23)^$A64)*(1+C$25),0.999)-(1-(1-C$23)^$A64))-$B$10*SQRT(((C$44*(1-(1-C$23)^$A64)+C$43*MIN((1-(1-C$23)^$A64)*(1+C$25),0.999))/(C$44+C$43))*(1-((C$44*(1-(1-C$23)^$A64)+C$43*MIN((1-(1-C$23)^$A64)*(1+C$25),0.999))/(C$44+C$43)))*(1/C$44+1/C$43)))/SQRT((1-(1-C$23)^$A64)*(1-(1-(1-C$23)^$A64))/C$44+MIN((1-(1-C$23)^$A64)*(1+C$25),0.999)*(1-MIN((1-(1-C$23)^$A64)*(1+C$25),0.999))/C$43)),0)</f>
        <v>0.632158101020602</v>
      </c>
      <c r="D64" s="16" t="n">
        <f aca="false">IFERROR(NORMSDIST((ABS(MIN((1-(1-D$23)^$A64)*(1+D$25),0.999)-(1-(1-D$23)^$A64))-$B$10*SQRT(((D$44*(1-(1-D$23)^$A64)+D$43*MIN((1-(1-D$23)^$A64)*(1+D$25),0.999))/(D$44+D$43))*(1-((D$44*(1-(1-D$23)^$A64)+D$43*MIN((1-(1-D$23)^$A64)*(1+D$25),0.999))/(D$44+D$43)))*(1/D$44+1/D$43)))/SQRT((1-(1-D$23)^$A64)*(1-(1-(1-D$23)^$A64))/D$44+MIN((1-(1-D$23)^$A64)*(1+D$25),0.999)*(1-MIN((1-(1-D$23)^$A64)*(1+D$25),0.999))/D$43)),0)</f>
        <v>0.193908029867781</v>
      </c>
      <c r="E64" s="2"/>
      <c r="F64" s="2"/>
    </row>
    <row r="65" customFormat="false" ht="15" hidden="false" customHeight="false" outlineLevel="0" collapsed="false">
      <c r="A65" s="26" t="n">
        <v>12</v>
      </c>
      <c r="B65" s="16" t="n">
        <f aca="false">IFERROR(NORMSDIST((ABS(MIN((1-(1-B$23)^$A65)*(1+B$25),0.999)-(1-(1-B$23)^$A65))-$B$10*SQRT(((B$44*(1-(1-B$23)^$A65)+B$43*MIN((1-(1-B$23)^$A65)*(1+B$25),0.999))/(B$44+B$43))*(1-((B$44*(1-(1-B$23)^$A65)+B$43*MIN((1-(1-B$23)^$A65)*(1+B$25),0.999))/(B$44+B$43)))*(1/B$44+1/B$43)))/SQRT((1-(1-B$23)^$A65)*(1-(1-(1-B$23)^$A65))/B$44+MIN((1-(1-B$23)^$A65)*(1+B$25),0.999)*(1-MIN((1-(1-B$23)^$A65)*(1+B$25),0.999))/B$43)),0)</f>
        <v>0.999999993632062</v>
      </c>
      <c r="C65" s="16" t="n">
        <f aca="false">IFERROR(NORMSDIST((ABS(MIN((1-(1-C$23)^$A65)*(1+C$25),0.999)-(1-(1-C$23)^$A65))-$B$10*SQRT(((C$44*(1-(1-C$23)^$A65)+C$43*MIN((1-(1-C$23)^$A65)*(1+C$25),0.999))/(C$44+C$43))*(1-((C$44*(1-(1-C$23)^$A65)+C$43*MIN((1-(1-C$23)^$A65)*(1+C$25),0.999))/(C$44+C$43)))*(1/C$44+1/C$43)))/SQRT((1-(1-C$23)^$A65)*(1-(1-(1-C$23)^$A65))/C$44+MIN((1-(1-C$23)^$A65)*(1+C$25),0.999)*(1-MIN((1-(1-C$23)^$A65)*(1+C$25),0.999))/C$43)),0)</f>
        <v>0.686177648758822</v>
      </c>
      <c r="D65" s="16" t="n">
        <f aca="false">IFERROR(NORMSDIST((ABS(MIN((1-(1-D$23)^$A65)*(1+D$25),0.999)-(1-(1-D$23)^$A65))-$B$10*SQRT(((D$44*(1-(1-D$23)^$A65)+D$43*MIN((1-(1-D$23)^$A65)*(1+D$25),0.999))/(D$44+D$43))*(1-((D$44*(1-(1-D$23)^$A65)+D$43*MIN((1-(1-D$23)^$A65)*(1+D$25),0.999))/(D$44+D$43)))*(1/D$44+1/D$43)))/SQRT((1-(1-D$23)^$A65)*(1-(1-(1-D$23)^$A65))/D$44+MIN((1-(1-D$23)^$A65)*(1+D$25),0.999)*(1-MIN((1-(1-D$23)^$A65)*(1+D$25),0.999))/D$43)),0)</f>
        <v>0.214228302973138</v>
      </c>
      <c r="E65" s="2"/>
      <c r="F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</row>
    <row r="67" customFormat="false" ht="15" hidden="false" customHeight="true" outlineLevel="0" collapsed="false">
      <c r="A67" s="27" t="s">
        <v>88</v>
      </c>
      <c r="B67" s="27"/>
      <c r="C67" s="27"/>
      <c r="D67" s="27"/>
      <c r="E67" s="27"/>
      <c r="F67" s="2"/>
    </row>
    <row r="68" customFormat="false" ht="15" hidden="false" customHeight="false" outlineLevel="0" collapsed="false">
      <c r="A68" s="27"/>
      <c r="B68" s="27"/>
      <c r="C68" s="27"/>
      <c r="D68" s="27"/>
      <c r="E68" s="27"/>
      <c r="F68" s="2"/>
    </row>
    <row r="69" customFormat="false" ht="15" hidden="false" customHeight="false" outlineLevel="0" collapsed="false">
      <c r="A69" s="27"/>
      <c r="B69" s="27"/>
      <c r="C69" s="27"/>
      <c r="D69" s="27"/>
      <c r="E69" s="27"/>
      <c r="F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</row>
  </sheetData>
  <mergeCells count="1">
    <mergeCell ref="A67:E69"/>
  </mergeCells>
  <conditionalFormatting sqref="B32:D32">
    <cfRule type="cellIs" priority="2" operator="equal" aboveAverage="0" equalAverage="0" bottom="0" percent="0" rank="0" text="" dxfId="0">
      <formula>"SÍ"</formula>
    </cfRule>
    <cfRule type="cellIs" priority="3" operator="equal" aboveAverage="0" equalAverage="0" bottom="0" percent="0" rank="0" text="" dxfId="1">
      <formula>"NO"</formula>
    </cfRule>
  </conditionalFormatting>
  <conditionalFormatting sqref="B35:D35">
    <cfRule type="expression" priority="4" aboveAverage="0" equalAverage="0" bottom="0" percent="0" rank="0" text="" dxfId="2">
      <formula>LEFT(B35,2)="Sí"</formula>
    </cfRule>
    <cfRule type="expression" priority="5" aboveAverage="0" equalAverage="0" bottom="0" percent="0" rank="0" text="" dxfId="3">
      <formula>LEFT(B35,2)="No"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17.35" hidden="false" customHeight="false" outlineLevel="0" collapsed="false">
      <c r="A1" s="1" t="s">
        <v>89</v>
      </c>
    </row>
    <row r="2" customFormat="false" ht="15" hidden="false" customHeight="false" outlineLevel="0" collapsed="false">
      <c r="A2" s="3" t="s">
        <v>90</v>
      </c>
    </row>
    <row r="3" customFormat="false" ht="15" hidden="false" customHeight="false" outlineLevel="0" collapsed="false">
      <c r="A3" s="2" t="s">
        <v>91</v>
      </c>
      <c r="B3" s="11" t="n">
        <v>1</v>
      </c>
      <c r="C3" s="3" t="s">
        <v>92</v>
      </c>
    </row>
    <row r="5" customFormat="false" ht="15" hidden="false" customHeight="false" outlineLevel="0" collapsed="false">
      <c r="A5" s="28" t="s">
        <v>93</v>
      </c>
      <c r="B5" s="29" t="n">
        <v>0.1</v>
      </c>
      <c r="C5" s="29" t="n">
        <v>0.15</v>
      </c>
      <c r="D5" s="29" t="n">
        <v>0.2</v>
      </c>
      <c r="E5" s="29" t="n">
        <v>0.3</v>
      </c>
      <c r="F5" s="29" t="n">
        <v>0.5</v>
      </c>
    </row>
    <row r="6" customFormat="false" ht="15" hidden="false" customHeight="false" outlineLevel="0" collapsed="false">
      <c r="A6" s="29" t="n">
        <v>0.01</v>
      </c>
      <c r="B6" s="30" t="n">
        <f aca="false">ROUNDUP(((Calculadora!$B$10*SQRT(2*(($A6+($A6*(1+B$5*$B$3)))/2)*(1-(($A6+($A6*(1+B$5*$B$3)))/2)))+Calculadora!$B$11*SQRT($A6*(1-$A6)+($A6*(1+B$5*$B$3))*(1-($A6*(1+B$5*$B$3)))))^2)/(($A6*(1+B$5*$B$3))-$A6)^2,0)</f>
        <v>217542</v>
      </c>
      <c r="C6" s="30" t="n">
        <f aca="false">ROUNDUP(((Calculadora!$B$10*SQRT(2*(($A6+($A6*(1+C$5*$B$3)))/2)*(1-(($A6+($A6*(1+C$5*$B$3)))/2)))+Calculadora!$B$11*SQRT($A6*(1-$A6)+($A6*(1+C$5*$B$3))*(1-($A6*(1+C$5*$B$3)))))^2)/(($A6*(1+C$5*$B$3))-$A6)^2,0)</f>
        <v>98962</v>
      </c>
      <c r="D6" s="30" t="n">
        <f aca="false">ROUNDUP(((Calculadora!$B$10*SQRT(2*(($A6+($A6*(1+D$5*$B$3)))/2)*(1-(($A6+($A6*(1+D$5*$B$3)))/2)))+Calculadora!$B$11*SQRT($A6*(1-$A6)+($A6*(1+D$5*$B$3))*(1-($A6*(1+D$5*$B$3)))))^2)/(($A6*(1+D$5*$B$3))-$A6)^2,0)</f>
        <v>56946</v>
      </c>
      <c r="E6" s="30" t="n">
        <f aca="false">ROUNDUP(((Calculadora!$B$10*SQRT(2*(($A6+($A6*(1+E$5*$B$3)))/2)*(1-(($A6+($A6*(1+E$5*$B$3)))/2)))+Calculadora!$B$11*SQRT($A6*(1-$A6)+($A6*(1+E$5*$B$3))*(1-($A6*(1+E$5*$B$3)))))^2)/(($A6*(1+E$5*$B$3))-$A6)^2,0)</f>
        <v>26446</v>
      </c>
      <c r="F6" s="30" t="n">
        <f aca="false">ROUNDUP(((Calculadora!$B$10*SQRT(2*(($A6+($A6*(1+F$5*$B$3)))/2)*(1-(($A6+($A6*(1+F$5*$B$3)))/2)))+Calculadora!$B$11*SQRT($A6*(1-$A6)+($A6*(1+F$5*$B$3))*(1-($A6*(1+F$5*$B$3)))))^2)/(($A6*(1+F$5*$B$3))-$A6)^2,0)</f>
        <v>10337</v>
      </c>
    </row>
    <row r="7" customFormat="false" ht="15" hidden="false" customHeight="false" outlineLevel="0" collapsed="false">
      <c r="A7" s="29" t="n">
        <v>0.02</v>
      </c>
      <c r="B7" s="30" t="n">
        <f aca="false">ROUNDUP(((Calculadora!$B$10*SQRT(2*(($A7+($A7*(1+B$5*$B$3)))/2)*(1-(($A7+($A7*(1+B$5*$B$3)))/2)))+Calculadora!$B$11*SQRT($A7*(1-$A7)+($A7*(1+B$5*$B$3))*(1-($A7*(1+B$5*$B$3)))))^2)/(($A7*(1+B$5*$B$3))-$A7)^2,0)</f>
        <v>107616</v>
      </c>
      <c r="C7" s="30" t="n">
        <f aca="false">ROUNDUP(((Calculadora!$B$10*SQRT(2*(($A7+($A7*(1+C$5*$B$3)))/2)*(1-(($A7+($A7*(1+C$5*$B$3)))/2)))+Calculadora!$B$11*SQRT($A7*(1-$A7)+($A7*(1+C$5*$B$3))*(1-($A7*(1+C$5*$B$3)))))^2)/(($A7*(1+C$5*$B$3))-$A7)^2,0)</f>
        <v>48943</v>
      </c>
      <c r="D7" s="30" t="n">
        <f aca="false">ROUNDUP(((Calculadora!$B$10*SQRT(2*(($A7+($A7*(1+D$5*$B$3)))/2)*(1-(($A7+($A7*(1+D$5*$B$3)))/2)))+Calculadora!$B$11*SQRT($A7*(1-$A7)+($A7*(1+D$5*$B$3))*(1-($A7*(1+D$5*$B$3)))))^2)/(($A7*(1+D$5*$B$3))-$A7)^2,0)</f>
        <v>28156</v>
      </c>
      <c r="E7" s="30" t="n">
        <f aca="false">ROUNDUP(((Calculadora!$B$10*SQRT(2*(($A7+($A7*(1+E$5*$B$3)))/2)*(1-(($A7+($A7*(1+E$5*$B$3)))/2)))+Calculadora!$B$11*SQRT($A7*(1-$A7)+($A7*(1+E$5*$B$3))*(1-($A7*(1+E$5*$B$3)))))^2)/(($A7*(1+E$5*$B$3))-$A7)^2,0)</f>
        <v>13069</v>
      </c>
      <c r="F7" s="30" t="n">
        <f aca="false">ROUNDUP(((Calculadora!$B$10*SQRT(2*(($A7+($A7*(1+F$5*$B$3)))/2)*(1-(($A7+($A7*(1+F$5*$B$3)))/2)))+Calculadora!$B$11*SQRT($A7*(1-$A7)+($A7*(1+F$5*$B$3))*(1-($A7*(1+F$5*$B$3)))))^2)/(($A7*(1+F$5*$B$3))-$A7)^2,0)</f>
        <v>5103</v>
      </c>
    </row>
    <row r="8" customFormat="false" ht="15" hidden="false" customHeight="false" outlineLevel="0" collapsed="false">
      <c r="A8" s="29" t="n">
        <v>0.03</v>
      </c>
      <c r="B8" s="30" t="n">
        <f aca="false">ROUNDUP(((Calculadora!$B$10*SQRT(2*(($A8+($A8*(1+B$5*$B$3)))/2)*(1-(($A8+($A8*(1+B$5*$B$3)))/2)))+Calculadora!$B$11*SQRT($A8*(1-$A8)+($A8*(1+B$5*$B$3))*(1-($A8*(1+B$5*$B$3)))))^2)/(($A8*(1+B$5*$B$3))-$A8)^2,0)</f>
        <v>70974</v>
      </c>
      <c r="C8" s="30" t="n">
        <f aca="false">ROUNDUP(((Calculadora!$B$10*SQRT(2*(($A8+($A8*(1+C$5*$B$3)))/2)*(1-(($A8+($A8*(1+C$5*$B$3)))/2)))+Calculadora!$B$11*SQRT($A8*(1-$A8)+($A8*(1+C$5*$B$3))*(1-($A8*(1+C$5*$B$3)))))^2)/(($A8*(1+C$5*$B$3))-$A8)^2,0)</f>
        <v>32270</v>
      </c>
      <c r="D8" s="30" t="n">
        <f aca="false">ROUNDUP(((Calculadora!$B$10*SQRT(2*(($A8+($A8*(1+D$5*$B$3)))/2)*(1-(($A8+($A8*(1+D$5*$B$3)))/2)))+Calculadora!$B$11*SQRT($A8*(1-$A8)+($A8*(1+D$5*$B$3))*(1-($A8*(1+D$5*$B$3)))))^2)/(($A8*(1+D$5*$B$3))-$A8)^2,0)</f>
        <v>18559</v>
      </c>
      <c r="E8" s="30" t="n">
        <f aca="false">ROUNDUP(((Calculadora!$B$10*SQRT(2*(($A8+($A8*(1+E$5*$B$3)))/2)*(1-(($A8+($A8*(1+E$5*$B$3)))/2)))+Calculadora!$B$11*SQRT($A8*(1-$A8)+($A8*(1+E$5*$B$3))*(1-($A8*(1+E$5*$B$3)))))^2)/(($A8*(1+E$5*$B$3))-$A8)^2,0)</f>
        <v>8610</v>
      </c>
      <c r="F8" s="30" t="n">
        <f aca="false">ROUNDUP(((Calculadora!$B$10*SQRT(2*(($A8+($A8*(1+F$5*$B$3)))/2)*(1-(($A8+($A8*(1+F$5*$B$3)))/2)))+Calculadora!$B$11*SQRT($A8*(1-$A8)+($A8*(1+F$5*$B$3))*(1-($A8*(1+F$5*$B$3)))))^2)/(($A8*(1+F$5*$B$3))-$A8)^2,0)</f>
        <v>3358</v>
      </c>
    </row>
    <row r="9" customFormat="false" ht="15" hidden="false" customHeight="false" outlineLevel="0" collapsed="false">
      <c r="A9" s="29" t="n">
        <v>0.05</v>
      </c>
      <c r="B9" s="30" t="n">
        <f aca="false">ROUNDUP(((Calculadora!$B$10*SQRT(2*(($A9+($A9*(1+B$5*$B$3)))/2)*(1-(($A9+($A9*(1+B$5*$B$3)))/2)))+Calculadora!$B$11*SQRT($A9*(1-$A9)+($A9*(1+B$5*$B$3))*(1-($A9*(1+B$5*$B$3)))))^2)/(($A9*(1+B$5*$B$3))-$A9)^2,0)</f>
        <v>41661</v>
      </c>
      <c r="C9" s="30" t="n">
        <f aca="false">ROUNDUP(((Calculadora!$B$10*SQRT(2*(($A9+($A9*(1+C$5*$B$3)))/2)*(1-(($A9+($A9*(1+C$5*$B$3)))/2)))+Calculadora!$B$11*SQRT($A9*(1-$A9)+($A9*(1+C$5*$B$3))*(1-($A9*(1+C$5*$B$3)))))^2)/(($A9*(1+C$5*$B$3))-$A9)^2,0)</f>
        <v>18931</v>
      </c>
      <c r="D9" s="30" t="n">
        <f aca="false">ROUNDUP(((Calculadora!$B$10*SQRT(2*(($A9+($A9*(1+D$5*$B$3)))/2)*(1-(($A9+($A9*(1+D$5*$B$3)))/2)))+Calculadora!$B$11*SQRT($A9*(1-$A9)+($A9*(1+D$5*$B$3))*(1-($A9*(1+D$5*$B$3)))))^2)/(($A9*(1+D$5*$B$3))-$A9)^2,0)</f>
        <v>10882</v>
      </c>
      <c r="E9" s="30" t="n">
        <f aca="false">ROUNDUP(((Calculadora!$B$10*SQRT(2*(($A9+($A9*(1+E$5*$B$3)))/2)*(1-(($A9+($A9*(1+E$5*$B$3)))/2)))+Calculadora!$B$11*SQRT($A9*(1-$A9)+($A9*(1+E$5*$B$3))*(1-($A9*(1+E$5*$B$3)))))^2)/(($A9*(1+E$5*$B$3))-$A9)^2,0)</f>
        <v>5042</v>
      </c>
      <c r="F9" s="30" t="n">
        <f aca="false">ROUNDUP(((Calculadora!$B$10*SQRT(2*(($A9+($A9*(1+F$5*$B$3)))/2)*(1-(($A9+($A9*(1+F$5*$B$3)))/2)))+Calculadora!$B$11*SQRT($A9*(1-$A9)+($A9*(1+F$5*$B$3))*(1-($A9*(1+F$5*$B$3)))))^2)/(($A9*(1+F$5*$B$3))-$A9)^2,0)</f>
        <v>1962</v>
      </c>
    </row>
    <row r="10" customFormat="false" ht="15" hidden="false" customHeight="false" outlineLevel="0" collapsed="false">
      <c r="A10" s="29" t="n">
        <v>0.08</v>
      </c>
      <c r="B10" s="30" t="n">
        <f aca="false">ROUNDUP(((Calculadora!$B$10*SQRT(2*(($A10+($A10*(1+B$5*$B$3)))/2)*(1-(($A10+($A10*(1+B$5*$B$3)))/2)))+Calculadora!$B$11*SQRT($A10*(1-$A10)+($A10*(1+B$5*$B$3))*(1-($A10*(1+B$5*$B$3)))))^2)/(($A10*(1+B$5*$B$3))-$A10)^2,0)</f>
        <v>25172</v>
      </c>
      <c r="C10" s="30" t="n">
        <f aca="false">ROUNDUP(((Calculadora!$B$10*SQRT(2*(($A10+($A10*(1+C$5*$B$3)))/2)*(1-(($A10+($A10*(1+C$5*$B$3)))/2)))+Calculadora!$B$11*SQRT($A10*(1-$A10)+($A10*(1+C$5*$B$3))*(1-($A10*(1+C$5*$B$3)))))^2)/(($A10*(1+C$5*$B$3))-$A10)^2,0)</f>
        <v>11429</v>
      </c>
      <c r="D10" s="30" t="n">
        <f aca="false">ROUNDUP(((Calculadora!$B$10*SQRT(2*(($A10+($A10*(1+D$5*$B$3)))/2)*(1-(($A10+($A10*(1+D$5*$B$3)))/2)))+Calculadora!$B$11*SQRT($A10*(1-$A10)+($A10*(1+D$5*$B$3))*(1-($A10*(1+D$5*$B$3)))))^2)/(($A10*(1+D$5*$B$3))-$A10)^2,0)</f>
        <v>6563</v>
      </c>
      <c r="E10" s="30" t="n">
        <f aca="false">ROUNDUP(((Calculadora!$B$10*SQRT(2*(($A10+($A10*(1+E$5*$B$3)))/2)*(1-(($A10+($A10*(1+E$5*$B$3)))/2)))+Calculadora!$B$11*SQRT($A10*(1-$A10)+($A10*(1+E$5*$B$3))*(1-($A10*(1+E$5*$B$3)))))^2)/(($A10*(1+E$5*$B$3))-$A10)^2,0)</f>
        <v>3036</v>
      </c>
      <c r="F10" s="30" t="n">
        <f aca="false">ROUNDUP(((Calculadora!$B$10*SQRT(2*(($A10+($A10*(1+F$5*$B$3)))/2)*(1-(($A10+($A10*(1+F$5*$B$3)))/2)))+Calculadora!$B$11*SQRT($A10*(1-$A10)+($A10*(1+F$5*$B$3))*(1-($A10*(1+F$5*$B$3)))))^2)/(($A10*(1+F$5*$B$3))-$A10)^2,0)</f>
        <v>1177</v>
      </c>
    </row>
    <row r="11" customFormat="false" ht="15" hidden="false" customHeight="false" outlineLevel="0" collapsed="false">
      <c r="A11" s="29" t="n">
        <v>0.1</v>
      </c>
      <c r="B11" s="30" t="n">
        <f aca="false">ROUNDUP(((Calculadora!$B$10*SQRT(2*(($A11+($A11*(1+B$5*$B$3)))/2)*(1-(($A11+($A11*(1+B$5*$B$3)))/2)))+Calculadora!$B$11*SQRT($A11*(1-$A11)+($A11*(1+B$5*$B$3))*(1-($A11*(1+B$5*$B$3)))))^2)/(($A11*(1+B$5*$B$3))-$A11)^2,0)</f>
        <v>19676</v>
      </c>
      <c r="C11" s="30" t="n">
        <f aca="false">ROUNDUP(((Calculadora!$B$10*SQRT(2*(($A11+($A11*(1+C$5*$B$3)))/2)*(1-(($A11+($A11*(1+C$5*$B$3)))/2)))+Calculadora!$B$11*SQRT($A11*(1-$A11)+($A11*(1+C$5*$B$3))*(1-($A11*(1+C$5*$B$3)))))^2)/(($A11*(1+C$5*$B$3))-$A11)^2,0)</f>
        <v>8928</v>
      </c>
      <c r="D11" s="30" t="n">
        <f aca="false">ROUNDUP(((Calculadora!$B$10*SQRT(2*(($A11+($A11*(1+D$5*$B$3)))/2)*(1-(($A11+($A11*(1+D$5*$B$3)))/2)))+Calculadora!$B$11*SQRT($A11*(1-$A11)+($A11*(1+D$5*$B$3))*(1-($A11*(1+D$5*$B$3)))))^2)/(($A11*(1+D$5*$B$3))-$A11)^2,0)</f>
        <v>5124</v>
      </c>
      <c r="E11" s="30" t="n">
        <f aca="false">ROUNDUP(((Calculadora!$B$10*SQRT(2*(($A11+($A11*(1+E$5*$B$3)))/2)*(1-(($A11+($A11*(1+E$5*$B$3)))/2)))+Calculadora!$B$11*SQRT($A11*(1-$A11)+($A11*(1+E$5*$B$3))*(1-($A11*(1+E$5*$B$3)))))^2)/(($A11*(1+E$5*$B$3))-$A11)^2,0)</f>
        <v>2367</v>
      </c>
      <c r="F11" s="30" t="n">
        <f aca="false">ROUNDUP(((Calculadora!$B$10*SQRT(2*(($A11+($A11*(1+F$5*$B$3)))/2)*(1-(($A11+($A11*(1+F$5*$B$3)))/2)))+Calculadora!$B$11*SQRT($A11*(1-$A11)+($A11*(1+F$5*$B$3))*(1-($A11*(1+F$5*$B$3)))))^2)/(($A11*(1+F$5*$B$3))-$A11)^2,0)</f>
        <v>915</v>
      </c>
    </row>
    <row r="12" customFormat="false" ht="15" hidden="false" customHeight="false" outlineLevel="0" collapsed="false">
      <c r="A12" s="29" t="n">
        <v>0.15</v>
      </c>
      <c r="B12" s="30" t="n">
        <f aca="false">ROUNDUP(((Calculadora!$B$10*SQRT(2*(($A12+($A12*(1+B$5*$B$3)))/2)*(1-(($A12+($A12*(1+B$5*$B$3)))/2)))+Calculadora!$B$11*SQRT($A12*(1-$A12)+($A12*(1+B$5*$B$3))*(1-($A12*(1+B$5*$B$3)))))^2)/(($A12*(1+B$5*$B$3))-$A12)^2,0)</f>
        <v>12347</v>
      </c>
      <c r="C12" s="30" t="n">
        <f aca="false">ROUNDUP(((Calculadora!$B$10*SQRT(2*(($A12+($A12*(1+C$5*$B$3)))/2)*(1-(($A12+($A12*(1+C$5*$B$3)))/2)))+Calculadora!$B$11*SQRT($A12*(1-$A12)+($A12*(1+C$5*$B$3))*(1-($A12*(1+C$5*$B$3)))))^2)/(($A12*(1+C$5*$B$3))-$A12)^2,0)</f>
        <v>5593</v>
      </c>
      <c r="D12" s="30" t="n">
        <f aca="false">ROUNDUP(((Calculadora!$B$10*SQRT(2*(($A12+($A12*(1+D$5*$B$3)))/2)*(1-(($A12+($A12*(1+D$5*$B$3)))/2)))+Calculadora!$B$11*SQRT($A12*(1-$A12)+($A12*(1+D$5*$B$3))*(1-($A12*(1+D$5*$B$3)))))^2)/(($A12*(1+D$5*$B$3))-$A12)^2,0)</f>
        <v>3204</v>
      </c>
      <c r="E12" s="30" t="n">
        <f aca="false">ROUNDUP(((Calculadora!$B$10*SQRT(2*(($A12+($A12*(1+E$5*$B$3)))/2)*(1-(($A12+($A12*(1+E$5*$B$3)))/2)))+Calculadora!$B$11*SQRT($A12*(1-$A12)+($A12*(1+E$5*$B$3))*(1-($A12*(1+E$5*$B$3)))))^2)/(($A12*(1+E$5*$B$3))-$A12)^2,0)</f>
        <v>1475</v>
      </c>
      <c r="F12" s="30" t="n">
        <f aca="false">ROUNDUP(((Calculadora!$B$10*SQRT(2*(($A12+($A12*(1+F$5*$B$3)))/2)*(1-(($A12+($A12*(1+F$5*$B$3)))/2)))+Calculadora!$B$11*SQRT($A12*(1-$A12)+($A12*(1+F$5*$B$3))*(1-($A12*(1+F$5*$B$3)))))^2)/(($A12*(1+F$5*$B$3))-$A12)^2,0)</f>
        <v>566</v>
      </c>
    </row>
    <row r="13" customFormat="false" ht="15" hidden="false" customHeight="false" outlineLevel="0" collapsed="false">
      <c r="A13" s="29" t="n">
        <v>0.2</v>
      </c>
      <c r="B13" s="30" t="n">
        <f aca="false">ROUNDUP(((Calculadora!$B$10*SQRT(2*(($A13+($A13*(1+B$5*$B$3)))/2)*(1-(($A13+($A13*(1+B$5*$B$3)))/2)))+Calculadora!$B$11*SQRT($A13*(1-$A13)+($A13*(1+B$5*$B$3))*(1-($A13*(1+B$5*$B$3)))))^2)/(($A13*(1+B$5*$B$3))-$A13)^2,0)</f>
        <v>8683</v>
      </c>
      <c r="C13" s="30" t="n">
        <f aca="false">ROUNDUP(((Calculadora!$B$10*SQRT(2*(($A13+($A13*(1+C$5*$B$3)))/2)*(1-(($A13+($A13*(1+C$5*$B$3)))/2)))+Calculadora!$B$11*SQRT($A13*(1-$A13)+($A13*(1+C$5*$B$3))*(1-($A13*(1+C$5*$B$3)))))^2)/(($A13*(1+C$5*$B$3))-$A13)^2,0)</f>
        <v>3926</v>
      </c>
      <c r="D13" s="30" t="n">
        <f aca="false">ROUNDUP(((Calculadora!$B$10*SQRT(2*(($A13+($A13*(1+D$5*$B$3)))/2)*(1-(($A13+($A13*(1+D$5*$B$3)))/2)))+Calculadora!$B$11*SQRT($A13*(1-$A13)+($A13*(1+D$5*$B$3))*(1-($A13*(1+D$5*$B$3)))))^2)/(($A13*(1+D$5*$B$3))-$A13)^2,0)</f>
        <v>2245</v>
      </c>
      <c r="E13" s="30" t="n">
        <f aca="false">ROUNDUP(((Calculadora!$B$10*SQRT(2*(($A13+($A13*(1+E$5*$B$3)))/2)*(1-(($A13+($A13*(1+E$5*$B$3)))/2)))+Calculadora!$B$11*SQRT($A13*(1-$A13)+($A13*(1+E$5*$B$3))*(1-($A13*(1+E$5*$B$3)))))^2)/(($A13*(1+E$5*$B$3))-$A13)^2,0)</f>
        <v>1029</v>
      </c>
      <c r="F13" s="30" t="n">
        <f aca="false">ROUNDUP(((Calculadora!$B$10*SQRT(2*(($A13+($A13*(1+F$5*$B$3)))/2)*(1-(($A13+($A13*(1+F$5*$B$3)))/2)))+Calculadora!$B$11*SQRT($A13*(1-$A13)+($A13*(1+F$5*$B$3))*(1-($A13*(1+F$5*$B$3)))))^2)/(($A13*(1+F$5*$B$3))-$A13)^2,0)</f>
        <v>392</v>
      </c>
    </row>
    <row r="15" customFormat="false" ht="15" hidden="false" customHeight="false" outlineLevel="0" collapsed="false">
      <c r="A15" s="3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95</v>
      </c>
    </row>
    <row r="3" customFormat="false" ht="15" hidden="false" customHeight="false" outlineLevel="0" collapsed="false">
      <c r="A3" s="31" t="s">
        <v>96</v>
      </c>
    </row>
    <row r="4" customFormat="false" ht="23.85" hidden="false" customHeight="false" outlineLevel="0" collapsed="false">
      <c r="A4" s="31" t="s">
        <v>97</v>
      </c>
    </row>
    <row r="5" customFormat="false" ht="23.85" hidden="false" customHeight="false" outlineLevel="0" collapsed="false">
      <c r="A5" s="31" t="s">
        <v>98</v>
      </c>
    </row>
    <row r="6" customFormat="false" ht="15" hidden="false" customHeight="false" outlineLevel="0" collapsed="false">
      <c r="A6" s="31" t="s">
        <v>99</v>
      </c>
    </row>
    <row r="7" customFormat="false" ht="15" hidden="false" customHeight="false" outlineLevel="0" collapsed="false">
      <c r="A7" s="31" t="s">
        <v>100</v>
      </c>
    </row>
    <row r="8" customFormat="false" ht="23.85" hidden="false" customHeight="false" outlineLevel="0" collapsed="false">
      <c r="A8" s="31" t="s">
        <v>101</v>
      </c>
    </row>
    <row r="9" customFormat="false" ht="15" hidden="false" customHeight="false" outlineLevel="0" collapsed="false">
      <c r="A9" s="31" t="s">
        <v>102</v>
      </c>
    </row>
    <row r="10" customFormat="false" ht="15" hidden="false" customHeight="false" outlineLevel="0" collapsed="false">
      <c r="A10" s="31"/>
    </row>
    <row r="11" customFormat="false" ht="15" hidden="false" customHeight="false" outlineLevel="0" collapsed="false">
      <c r="A11" s="32" t="s">
        <v>103</v>
      </c>
    </row>
    <row r="12" customFormat="false" ht="15" hidden="false" customHeight="false" outlineLevel="0" collapsed="false">
      <c r="A12" s="31" t="s">
        <v>104</v>
      </c>
    </row>
    <row r="13" customFormat="false" ht="15" hidden="false" customHeight="false" outlineLevel="0" collapsed="false">
      <c r="A13" s="31" t="s">
        <v>105</v>
      </c>
    </row>
    <row r="14" customFormat="false" ht="15" hidden="false" customHeight="false" outlineLevel="0" collapsed="false">
      <c r="A14" s="31"/>
    </row>
    <row r="15" customFormat="false" ht="23.85" hidden="false" customHeight="false" outlineLevel="0" collapsed="false">
      <c r="A15" s="31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2026-10-08T18:50:58Z</dcterms:created>
  <dc:creator>openpyxl</dc:creator>
  <dc:description/>
  <dc:language>en-US</dc:language>
  <cp:lastModifiedBy/>
  <dcterms:modified xsi:type="dcterms:W3CDTF">2026-10-08T18:50:58Z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