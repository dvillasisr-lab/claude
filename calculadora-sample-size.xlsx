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dora" sheetId="1" state="visible" r:id="rId3"/>
    <sheet name="Instruccio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<sst xmlns="http://schemas.openxmlformats.org/spreadsheetml/2006/main" count="96" uniqueCount="86">
  <si>
    <t xml:space="preserve">Calculadora de poder: experimento de crédito por score (ventana de 1 mes)</t>
  </si>
  <si>
    <t xml:space="preserve">Celdas azules con fondo amarillo = las cambias tú. Lo demás son fórmulas. Lo único que de verdad decides es la fila 'Usuarios en TRATAMIENTO'; el control es el resto del pool.</t>
  </si>
  <si>
    <t xml:space="preserve">PARÁMETROS</t>
  </si>
  <si>
    <t xml:space="preserve">Valor</t>
  </si>
  <si>
    <t xml:space="preserve">Qué es</t>
  </si>
  <si>
    <t xml:space="preserve">Alpha (riesgo de falso positivo)</t>
  </si>
  <si>
    <t xml:space="preserve">Estándar 0.05.</t>
  </si>
  <si>
    <t xml:space="preserve">Poder objetivo</t>
  </si>
  <si>
    <t xml:space="preserve">Estándar 0.80.</t>
  </si>
  <si>
    <t xml:space="preserve">Tiers que pruebas a la vez</t>
  </si>
  <si>
    <t xml:space="preserve">2 si pruebas Bueno y Bajo. 1 si pruebas uno solo. 3 si los tres.</t>
  </si>
  <si>
    <t xml:space="preserve">Pérdidas / inactivos</t>
  </si>
  <si>
    <t xml:space="preserve">% de usuarios que no cuentan al final (no activan, salen). 5% es razonable.</t>
  </si>
  <si>
    <t xml:space="preserve">Alpha ajustado</t>
  </si>
  <si>
    <t xml:space="preserve">Alpha / tiers (Bonferroni).</t>
  </si>
  <si>
    <t xml:space="preserve">z alpha</t>
  </si>
  <si>
    <t xml:space="preserve">z poder</t>
  </si>
  <si>
    <t xml:space="preserve">MÉTRICA</t>
  </si>
  <si>
    <t xml:space="preserve">Nombre de la métrica (solo etiqueta)</t>
  </si>
  <si>
    <t xml:space="preserve">Referidor trae referido con loan</t>
  </si>
  <si>
    <t xml:space="preserve">Lo que cuentas por usuario cada mes: sí/no. Cámbiala cuando quieras; solo ajusta la fila 'Eventos al mes'.</t>
  </si>
  <si>
    <t xml:space="preserve">DATOS POR TIER</t>
  </si>
  <si>
    <t xml:space="preserve">Excelente</t>
  </si>
  <si>
    <t xml:space="preserve">Bueno</t>
  </si>
  <si>
    <t xml:space="preserve">Bajo</t>
  </si>
  <si>
    <t xml:space="preserve">Qué poner</t>
  </si>
  <si>
    <t xml:space="preserve">Crédito hoy (MXN)</t>
  </si>
  <si>
    <t xml:space="preserve">Lo que todos reciben hoy.</t>
  </si>
  <si>
    <t xml:space="preserve">Crédito nuevo (MXN)</t>
  </si>
  <si>
    <t xml:space="preserve">Lo que recibirá el tratamiento.</t>
  </si>
  <si>
    <t xml:space="preserve">Referidores potenciales (pool)</t>
  </si>
  <si>
    <t xml:space="preserve">Tu tabla de usuarios por rango de score.</t>
  </si>
  <si>
    <t xml:space="preserve">Eventos al mes del tier HOY (con 500 MXN)</t>
  </si>
  <si>
    <t xml:space="preserve">Cuántos usuarios del tier cumplen la métrica en un mes. Hoy: 5,000 loans repartidos por tamaño del tier. Si cambias la métrica, cambia este número.</t>
  </si>
  <si>
    <t xml:space="preserve">Usuarios en TRATAMIENTO (tú eliges)</t>
  </si>
  <si>
    <t xml:space="preserve">Cuántos reciben el crédito nuevo. El resto del pool queda en control con 500. Si no alcanza, mira la fila 'Mínimo para llegar al poder'.</t>
  </si>
  <si>
    <t xml:space="preserve">Cambio esperado en la métrica entre quienes usan el crédito</t>
  </si>
  <si>
    <t xml:space="preserve">Tu hipótesis. Positivo si esperas subir, negativo si esperas bajar (Bajo).</t>
  </si>
  <si>
    <t xml:space="preserve">Take-up (% que usa el crédito)</t>
  </si>
  <si>
    <t xml:space="preserve">Pon 100% si no aplica a la métrica o si el crédito se aplica solo.</t>
  </si>
  <si>
    <t xml:space="preserve">RESULTADOS (1 mes)</t>
  </si>
  <si>
    <t xml:space="preserve">Cómo leerlo</t>
  </si>
  <si>
    <t xml:space="preserve">Tasa base mensual (eventos / pool)</t>
  </si>
  <si>
    <t xml:space="preserve">De cada 100 usuarios, cuántos cumplen la métrica en un mes.</t>
  </si>
  <si>
    <t xml:space="preserve">Usuarios en control (pool - tratamiento)</t>
  </si>
  <si>
    <t xml:space="preserve">Siguen con 500. Si sale negativo, pusiste más tratamiento que pool.</t>
  </si>
  <si>
    <t xml:space="preserve">Eventos al mes esperados en tratamiento (sin cambio)</t>
  </si>
  <si>
    <t xml:space="preserve">Lo que ese grupo ya trae hoy. Si es menor a ~80, es muy difícil medir algo en 1 mes.</t>
  </si>
  <si>
    <t xml:space="preserve">Eventos al mes esperados en control</t>
  </si>
  <si>
    <t xml:space="preserve">Cambio efectivo en todo el grupo</t>
  </si>
  <si>
    <t xml:space="preserve">Cambio esperado × take-up. Es lo que de verdad se mide.</t>
  </si>
  <si>
    <t xml:space="preserve">Tasa esperada en tratamiento</t>
  </si>
  <si>
    <t xml:space="preserve">PODER con tus usuarios</t>
  </si>
  <si>
    <t xml:space="preserve">Probabilidad de detectar el cambio esperado si es real. Busca 80% o más.</t>
  </si>
  <si>
    <t xml:space="preserve">¿Detecta el cambio esperado?</t>
  </si>
  <si>
    <t xml:space="preserve">Cambio mínimo detectable (todo el grupo)</t>
  </si>
  <si>
    <t xml:space="preserve">Con tus usuarios solo ves cambios de este tamaño o mayores.</t>
  </si>
  <si>
    <t xml:space="preserve">Cambio mínimo detectable entre quienes usan el crédito</t>
  </si>
  <si>
    <t xml:space="preserve">Lo mismo, corregido por take-up. Compáralo con tu hipótesis.</t>
  </si>
  <si>
    <t xml:space="preserve">Eventos extra al mes si el cambio es real</t>
  </si>
  <si>
    <t xml:space="preserve">Negativo = eventos que perderías.</t>
  </si>
  <si>
    <t xml:space="preserve">Costo extra al mes del experimento (MXN)</t>
  </si>
  <si>
    <t xml:space="preserve">Diferencia de crédito × eventos del grupo tratado. Negativo = ahorro. Asume que el crédito se paga por evento.</t>
  </si>
  <si>
    <t xml:space="preserve">Mínimo de usuarios en tratamiento para llegar al poder</t>
  </si>
  <si>
    <t xml:space="preserve">Sale de la tabla de abajo. Pon ese número (o más) en 'Usuarios en TRATAMIENTO'.</t>
  </si>
  <si>
    <t xml:space="preserve">Qué hacer</t>
  </si>
  <si>
    <t xml:space="preserve">AUXILIAR (no editar)</t>
  </si>
  <si>
    <t xml:space="preserve">n tratamiento efectivo</t>
  </si>
  <si>
    <t xml:space="preserve">n control efectivo</t>
  </si>
  <si>
    <t xml:space="preserve">Tasa combinada</t>
  </si>
  <si>
    <t xml:space="preserve">Iteración 0</t>
  </si>
  <si>
    <t xml:space="preserve">Iteración 1</t>
  </si>
  <si>
    <t xml:space="preserve">Iteración 2</t>
  </si>
  <si>
    <t xml:space="preserve">Iteración 3</t>
  </si>
  <si>
    <t xml:space="preserve">Iteración 4 = mínimo detectable (pp)</t>
  </si>
  <si>
    <t xml:space="preserve">PODER SEGÚN USUARIOS EN TRATAMIENTO (control = resto del pool)</t>
  </si>
  <si>
    <t xml:space="preserve">Usa esta tabla para escoger cuántos usuarios meter</t>
  </si>
  <si>
    <t xml:space="preserve">Supuestos: prueba de dos proporciones, dos colas, grupos de distinto tamaño, ventana de 1 mes. La tasa base asume 1 evento por usuario al mes. Los eventos por tier están repartidos en proporción al tamaño del tier porque solo se conoce el total mensual; cámbialos si tienes el dato real.</t>
  </si>
  <si>
    <t xml:space="preserve">Cómo usar (1 minuto)</t>
  </si>
  <si>
    <t xml:space="preserve">1. La fila que decides es 'Usuarios en TRATAMIENTO' (fila 21). Todo lo demás ya tiene tus datos.</t>
  </si>
  <si>
    <t xml:space="preserve">2. Mira 'PODER con tus usuarios' (fila 32). Si está en 80% o más, listo.</t>
  </si>
  <si>
    <t xml:space="preserve">3. Si no, mira 'Mínimo de usuarios en tratamiento para llegar al poder' (fila 38) y escribe ese número en la fila 21.</t>
  </si>
  <si>
    <t xml:space="preserve">4. 'Qué hacer' (fila 39) te lo dice en una línea.</t>
  </si>
  <si>
    <t xml:space="preserve">5. Para cambiar la métrica: escribe su nombre en la fila 14 y pon en la fila 20 cuántos usuarios de cada tier la cumplen al mes hoy. Si no depende de usar el crédito, pon take-up 100%.</t>
  </si>
  <si>
    <t xml:space="preserve">6. 'Tiers que pruebas a la vez' (B7): pon cuántos tiers corres al mismo tiempo. Si solo uno, pon 1 y el poder sube.</t>
  </si>
  <si>
    <t xml:space="preserve">Lectura rápida: lo que manda son los EVENTOS en el grupo de tratamiento (fila 28), no los usuarios. Con menos de ~80 eventos al mes casi nada se puede medir en un mes.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</si>
</sst>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0"/>
    <numFmt numFmtId="166" formatCode="0.00"/>
    <numFmt numFmtId="167" formatCode="0"/>
    <numFmt numFmtId="168" formatCode="0.0%"/>
    <numFmt numFmtId="169" formatCode="0.0000"/>
    <numFmt numFmtId="170" formatCode="#,##0"/>
    <numFmt numFmtId="171" formatCode="0.000%"/>
    <numFmt numFmtId="172" formatCode="\$#,##0;[RED]&quot;-$&quot;#,##0"/>
    <numFmt numFmtId="173" formatCode="0.0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6EFCE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4" min="2" style="0" width="20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/>
      <c r="D4" s="4"/>
      <c r="E4" s="4" t="s">
        <v>4</v>
      </c>
    </row>
    <row r="5" customFormat="false" ht="15" hidden="false" customHeight="false" outlineLevel="0" collapsed="false">
      <c r="A5" s="5" t="s">
        <v>5</v>
      </c>
      <c r="B5" s="6" t="n">
        <v>0.05</v>
      </c>
      <c r="E5" s="7" t="s">
        <v>6</v>
      </c>
    </row>
    <row r="6" customFormat="false" ht="15" hidden="false" customHeight="false" outlineLevel="0" collapsed="false">
      <c r="A6" s="5" t="s">
        <v>7</v>
      </c>
      <c r="B6" s="8" t="n">
        <v>0.8</v>
      </c>
      <c r="E6" s="7" t="s">
        <v>8</v>
      </c>
    </row>
    <row r="7" customFormat="false" ht="15" hidden="false" customHeight="false" outlineLevel="0" collapsed="false">
      <c r="A7" s="5" t="s">
        <v>9</v>
      </c>
      <c r="B7" s="9" t="n">
        <v>2</v>
      </c>
      <c r="E7" s="7" t="s">
        <v>10</v>
      </c>
    </row>
    <row r="8" customFormat="false" ht="15" hidden="false" customHeight="false" outlineLevel="0" collapsed="false">
      <c r="A8" s="5" t="s">
        <v>11</v>
      </c>
      <c r="B8" s="10" t="n">
        <v>0.05</v>
      </c>
      <c r="E8" s="7" t="s">
        <v>12</v>
      </c>
    </row>
    <row r="9" customFormat="false" ht="15" hidden="false" customHeight="false" outlineLevel="0" collapsed="false">
      <c r="A9" s="5" t="s">
        <v>13</v>
      </c>
      <c r="B9" s="11" t="n">
        <f aca="false">B5/B7</f>
        <v>0.025</v>
      </c>
      <c r="E9" s="7" t="s">
        <v>14</v>
      </c>
    </row>
    <row r="10" customFormat="false" ht="15" hidden="false" customHeight="false" outlineLevel="0" collapsed="false">
      <c r="A10" s="5" t="s">
        <v>15</v>
      </c>
      <c r="B10" s="12" t="n">
        <f aca="false">NORMSINV(1-B9/2)</f>
        <v>2.24140272760495</v>
      </c>
    </row>
    <row r="11" customFormat="false" ht="15" hidden="false" customHeight="false" outlineLevel="0" collapsed="false">
      <c r="A11" s="5" t="s">
        <v>16</v>
      </c>
      <c r="B11" s="12" t="n">
        <f aca="false">NORMSINV(B6)</f>
        <v>0.841621233572914</v>
      </c>
    </row>
    <row r="13" customFormat="false" ht="15" hidden="false" customHeight="false" outlineLevel="0" collapsed="false">
      <c r="A13" s="3" t="s">
        <v>17</v>
      </c>
      <c r="B13" s="4"/>
      <c r="C13" s="4"/>
      <c r="D13" s="4"/>
      <c r="E13" s="4" t="s">
        <v>4</v>
      </c>
    </row>
    <row r="14" customFormat="false" ht="27.75" hidden="false" customHeight="true" outlineLevel="0" collapsed="false">
      <c r="A14" s="5" t="s">
        <v>18</v>
      </c>
      <c r="B14" s="13" t="s">
        <v>19</v>
      </c>
      <c r="C14" s="13"/>
      <c r="D14" s="13"/>
      <c r="E14" s="7" t="s">
        <v>20</v>
      </c>
    </row>
    <row r="16" customFormat="false" ht="15" hidden="false" customHeight="false" outlineLevel="0" collapsed="false">
      <c r="A16" s="3" t="s">
        <v>21</v>
      </c>
      <c r="B16" s="4" t="s">
        <v>22</v>
      </c>
      <c r="C16" s="4" t="s">
        <v>23</v>
      </c>
      <c r="D16" s="4" t="s">
        <v>24</v>
      </c>
      <c r="E16" s="4" t="s">
        <v>25</v>
      </c>
    </row>
    <row r="17" customFormat="false" ht="15" hidden="false" customHeight="false" outlineLevel="0" collapsed="false">
      <c r="A17" s="5" t="s">
        <v>26</v>
      </c>
      <c r="B17" s="14" t="n">
        <v>500</v>
      </c>
      <c r="C17" s="14" t="n">
        <v>500</v>
      </c>
      <c r="D17" s="14" t="n">
        <v>500</v>
      </c>
      <c r="E17" s="7" t="s">
        <v>27</v>
      </c>
    </row>
    <row r="18" customFormat="false" ht="15" hidden="false" customHeight="false" outlineLevel="0" collapsed="false">
      <c r="A18" s="5" t="s">
        <v>28</v>
      </c>
      <c r="B18" s="14" t="n">
        <v>1000</v>
      </c>
      <c r="C18" s="14" t="n">
        <v>750</v>
      </c>
      <c r="D18" s="14" t="n">
        <v>250</v>
      </c>
      <c r="E18" s="7" t="s">
        <v>29</v>
      </c>
    </row>
    <row r="19" customFormat="false" ht="15" hidden="false" customHeight="false" outlineLevel="0" collapsed="false">
      <c r="A19" s="5" t="s">
        <v>30</v>
      </c>
      <c r="B19" s="14" t="n">
        <v>562159</v>
      </c>
      <c r="C19" s="14" t="n">
        <v>668384</v>
      </c>
      <c r="D19" s="14" t="n">
        <v>4654405</v>
      </c>
      <c r="E19" s="7" t="s">
        <v>31</v>
      </c>
    </row>
    <row r="20" customFormat="false" ht="39.75" hidden="false" customHeight="true" outlineLevel="0" collapsed="false">
      <c r="A20" s="5" t="s">
        <v>32</v>
      </c>
      <c r="B20" s="14" t="n">
        <v>461</v>
      </c>
      <c r="C20" s="14" t="n">
        <v>549</v>
      </c>
      <c r="D20" s="14" t="n">
        <v>3820</v>
      </c>
      <c r="E20" s="7" t="s">
        <v>33</v>
      </c>
    </row>
    <row r="21" customFormat="false" ht="39.75" hidden="false" customHeight="true" outlineLevel="0" collapsed="false">
      <c r="A21" s="5" t="s">
        <v>34</v>
      </c>
      <c r="B21" s="14" t="n">
        <v>100000</v>
      </c>
      <c r="C21" s="14" t="n">
        <v>334192</v>
      </c>
      <c r="D21" s="14" t="n">
        <v>1000000</v>
      </c>
      <c r="E21" s="7" t="s">
        <v>35</v>
      </c>
    </row>
    <row r="22" customFormat="false" ht="15" hidden="false" customHeight="false" outlineLevel="0" collapsed="false">
      <c r="A22" s="5" t="s">
        <v>36</v>
      </c>
      <c r="B22" s="10" t="n">
        <v>0.3</v>
      </c>
      <c r="C22" s="10" t="n">
        <v>0.15</v>
      </c>
      <c r="D22" s="10" t="n">
        <v>-0.15</v>
      </c>
      <c r="E22" s="7" t="s">
        <v>37</v>
      </c>
    </row>
    <row r="23" customFormat="false" ht="15" hidden="false" customHeight="false" outlineLevel="0" collapsed="false">
      <c r="A23" s="5" t="s">
        <v>38</v>
      </c>
      <c r="B23" s="10" t="n">
        <v>0.6</v>
      </c>
      <c r="C23" s="10" t="n">
        <v>0.6</v>
      </c>
      <c r="D23" s="10" t="n">
        <v>0.6</v>
      </c>
      <c r="E23" s="7" t="s">
        <v>39</v>
      </c>
    </row>
    <row r="25" customFormat="false" ht="15" hidden="false" customHeight="false" outlineLevel="0" collapsed="false">
      <c r="A25" s="3" t="s">
        <v>40</v>
      </c>
      <c r="B25" s="4" t="s">
        <v>22</v>
      </c>
      <c r="C25" s="4" t="s">
        <v>23</v>
      </c>
      <c r="D25" s="4" t="s">
        <v>24</v>
      </c>
      <c r="E25" s="4" t="s">
        <v>41</v>
      </c>
    </row>
    <row r="26" customFormat="false" ht="15" hidden="false" customHeight="false" outlineLevel="0" collapsed="false">
      <c r="A26" s="5" t="s">
        <v>42</v>
      </c>
      <c r="B26" s="15" t="n">
        <f aca="false">B20/B19</f>
        <v>0.000820052689719457</v>
      </c>
      <c r="C26" s="15" t="n">
        <f aca="false">C20/C19</f>
        <v>0.000821384114520994</v>
      </c>
      <c r="D26" s="15" t="n">
        <f aca="false">D20/D19</f>
        <v>0.000820727891105308</v>
      </c>
      <c r="E26" s="7" t="s">
        <v>43</v>
      </c>
    </row>
    <row r="27" customFormat="false" ht="15" hidden="false" customHeight="false" outlineLevel="0" collapsed="false">
      <c r="A27" s="5" t="s">
        <v>44</v>
      </c>
      <c r="B27" s="16" t="n">
        <f aca="false">B19-B21</f>
        <v>462159</v>
      </c>
      <c r="C27" s="16" t="n">
        <f aca="false">C19-C21</f>
        <v>334192</v>
      </c>
      <c r="D27" s="16" t="n">
        <f aca="false">D19-D21</f>
        <v>3654405</v>
      </c>
      <c r="E27" s="7" t="s">
        <v>45</v>
      </c>
    </row>
    <row r="28" customFormat="false" ht="15" hidden="false" customHeight="false" outlineLevel="0" collapsed="false">
      <c r="A28" s="5" t="s">
        <v>46</v>
      </c>
      <c r="B28" s="16" t="n">
        <f aca="false">B21*B26</f>
        <v>82.0052689719457</v>
      </c>
      <c r="C28" s="16" t="n">
        <f aca="false">C21*C26</f>
        <v>274.5</v>
      </c>
      <c r="D28" s="16" t="n">
        <f aca="false">D21*D26</f>
        <v>820.727891105308</v>
      </c>
      <c r="E28" s="7" t="s">
        <v>47</v>
      </c>
    </row>
    <row r="29" customFormat="false" ht="15" hidden="false" customHeight="false" outlineLevel="0" collapsed="false">
      <c r="A29" s="5" t="s">
        <v>48</v>
      </c>
      <c r="B29" s="16" t="n">
        <f aca="false">B27*B26</f>
        <v>378.994731028054</v>
      </c>
      <c r="C29" s="16" t="n">
        <f aca="false">C27*C26</f>
        <v>274.5</v>
      </c>
      <c r="D29" s="16" t="n">
        <f aca="false">D27*D26</f>
        <v>2999.27210889469</v>
      </c>
    </row>
    <row r="30" customFormat="false" ht="15" hidden="false" customHeight="false" outlineLevel="0" collapsed="false">
      <c r="A30" s="5" t="s">
        <v>49</v>
      </c>
      <c r="B30" s="17" t="n">
        <f aca="false">B22*B23</f>
        <v>0.18</v>
      </c>
      <c r="C30" s="17" t="n">
        <f aca="false">C22*C23</f>
        <v>0.09</v>
      </c>
      <c r="D30" s="17" t="n">
        <f aca="false">D22*D23</f>
        <v>-0.09</v>
      </c>
      <c r="E30" s="7" t="s">
        <v>50</v>
      </c>
    </row>
    <row r="31" customFormat="false" ht="15" hidden="false" customHeight="false" outlineLevel="0" collapsed="false">
      <c r="A31" s="5" t="s">
        <v>51</v>
      </c>
      <c r="B31" s="15" t="n">
        <f aca="false">B26*(1+B30)</f>
        <v>0.000967662173868959</v>
      </c>
      <c r="C31" s="15" t="n">
        <f aca="false">C26*(1+C30)</f>
        <v>0.000895308684827884</v>
      </c>
      <c r="D31" s="15" t="n">
        <f aca="false">D26*(1+D30)</f>
        <v>0.00074686238090583</v>
      </c>
    </row>
    <row r="32" customFormat="false" ht="15" hidden="false" customHeight="false" outlineLevel="0" collapsed="false">
      <c r="A32" s="18" t="s">
        <v>52</v>
      </c>
      <c r="B32" s="19" t="n">
        <f aca="false">IF(OR(B27&lt;=0,B30=0),0,NORMSDIST((ABS(B31-B26)-$B$10*SQRT(B44*(1-B44)*(1/B43+1/B42)))/SQRT(B26*(1-B26)/B43+B31*(1-B31)/B42)))</f>
        <v>0.217644169186768</v>
      </c>
      <c r="C32" s="19" t="n">
        <f aca="false">IF(OR(C27&lt;=0,C30=0),0,NORMSDIST((ABS(C31-C26)-$B$10*SQRT(C44*(1-C44)*(1/C43+1/C42)))/SQRT(C26*(1-C26)/C43+C31*(1-C31)/C42)))</f>
        <v>0.108293125392718</v>
      </c>
      <c r="D32" s="19" t="n">
        <f aca="false">IF(OR(D27&lt;=0,D30=0),0,NORMSDIST((ABS(D31-D26)-$B$10*SQRT(D44*(1-D44)*(1/D43+1/D42)))/SQRT(D26*(1-D26)/D43+D31*(1-D31)/D42)))</f>
        <v>0.503337360450257</v>
      </c>
      <c r="E32" s="7" t="s">
        <v>53</v>
      </c>
    </row>
    <row r="33" customFormat="false" ht="15" hidden="false" customHeight="false" outlineLevel="0" collapsed="false">
      <c r="A33" s="18" t="s">
        <v>54</v>
      </c>
      <c r="B33" s="20" t="str">
        <f aca="false">IF(B32&gt;=$B$6,"SÍ","NO")</f>
        <v>NO</v>
      </c>
      <c r="C33" s="20" t="str">
        <f aca="false">IF(C32&gt;=$B$6,"SÍ","NO")</f>
        <v>NO</v>
      </c>
      <c r="D33" s="20" t="str">
        <f aca="false">IF(D32&gt;=$B$6,"SÍ","NO")</f>
        <v>NO</v>
      </c>
    </row>
    <row r="34" customFormat="false" ht="15" hidden="false" customHeight="false" outlineLevel="0" collapsed="false">
      <c r="A34" s="5" t="s">
        <v>55</v>
      </c>
      <c r="B34" s="17" t="n">
        <f aca="false">IF(B27&lt;=0,"n/a",B49/B26)</f>
        <v>0.411612809264785</v>
      </c>
      <c r="C34" s="17" t="n">
        <f aca="false">IF(C27&lt;=0,"n/a",C49/C26)</f>
        <v>0.288690113308856</v>
      </c>
      <c r="D34" s="17" t="n">
        <f aca="false">IF(D27&lt;=0,"n/a",D49/D26)</f>
        <v>0.127444376351998</v>
      </c>
      <c r="E34" s="7" t="s">
        <v>56</v>
      </c>
    </row>
    <row r="35" customFormat="false" ht="15" hidden="false" customHeight="false" outlineLevel="0" collapsed="false">
      <c r="A35" s="5" t="s">
        <v>57</v>
      </c>
      <c r="B35" s="17" t="n">
        <f aca="false">IF(ISNUMBER(B34),B34/B23,"n/a")</f>
        <v>0.686021348774642</v>
      </c>
      <c r="C35" s="17" t="n">
        <f aca="false">IF(ISNUMBER(C34),C34/C23,"n/a")</f>
        <v>0.481150188848094</v>
      </c>
      <c r="D35" s="17" t="n">
        <f aca="false">IF(ISNUMBER(D34),D34/D23,"n/a")</f>
        <v>0.212407293919996</v>
      </c>
      <c r="E35" s="7" t="s">
        <v>58</v>
      </c>
    </row>
    <row r="36" customFormat="false" ht="15" hidden="false" customHeight="false" outlineLevel="0" collapsed="false">
      <c r="A36" s="5" t="s">
        <v>59</v>
      </c>
      <c r="B36" s="16" t="n">
        <f aca="false">B28*B30</f>
        <v>14.7609484149502</v>
      </c>
      <c r="C36" s="16" t="n">
        <f aca="false">C28*C30</f>
        <v>24.705</v>
      </c>
      <c r="D36" s="16" t="n">
        <f aca="false">D28*D30</f>
        <v>-73.8655101994777</v>
      </c>
      <c r="E36" s="7" t="s">
        <v>60</v>
      </c>
    </row>
    <row r="37" customFormat="false" ht="30" hidden="false" customHeight="true" outlineLevel="0" collapsed="false">
      <c r="A37" s="5" t="s">
        <v>61</v>
      </c>
      <c r="B37" s="21" t="n">
        <f aca="false">(B28+B36)*(B18-B17)</f>
        <v>48383.1086934479</v>
      </c>
      <c r="C37" s="21" t="n">
        <f aca="false">(C28+C36)*(C18-C17)</f>
        <v>74801.25</v>
      </c>
      <c r="D37" s="21" t="n">
        <f aca="false">(D28+D36)*(D18-D17)</f>
        <v>-186715.595226458</v>
      </c>
      <c r="E37" s="7" t="s">
        <v>62</v>
      </c>
    </row>
    <row r="38" customFormat="false" ht="23.85" hidden="false" customHeight="false" outlineLevel="0" collapsed="false">
      <c r="A38" s="18" t="s">
        <v>63</v>
      </c>
      <c r="B38" s="22" t="str">
        <f aca="false">IF(COUNT(B52:B59)=0,"n/a",IF(COUNTIF(B52:B59,"&lt;"&amp;$B$6)=COUNT(B52:B59),"No llega ni con todo el pool",INDEX($A$52:$A$59,COUNTIF(B52:B59,"&lt;"&amp;$B$6)+1)))</f>
        <v>No llega ni con todo el pool</v>
      </c>
      <c r="C38" s="22" t="str">
        <f aca="false">IF(COUNT(C52:C59)=0,"n/a",IF(COUNTIF(C52:C59,"&lt;"&amp;$B$6)=COUNT(C52:C59),"No llega ni con todo el pool",INDEX($A$52:$A$59,COUNTIF(C52:C59,"&lt;"&amp;$B$6)+1)))</f>
        <v>No llega ni con todo el pool</v>
      </c>
      <c r="D38" s="22" t="str">
        <f aca="false">IF(COUNT(D52:D59)=0,"n/a",IF(COUNTIF(D52:D59,"&lt;"&amp;$B$6)=COUNT(D52:D59),"No llega ni con todo el pool",INDEX($A$52:$A$59,COUNTIF(D52:D59,"&lt;"&amp;$B$6)+1)))</f>
        <v>No llega ni con todo el pool</v>
      </c>
      <c r="E38" s="7" t="s">
        <v>64</v>
      </c>
    </row>
    <row r="39" customFormat="false" ht="55.5" hidden="false" customHeight="true" outlineLevel="0" collapsed="false">
      <c r="A39" s="18" t="s">
        <v>65</v>
      </c>
      <c r="B39" s="20" t="str">
        <f aca="false">IF(B27&lt;0,"Tratamiento mayor al pool. Bájalo.",IF(B33="SÍ","Corre con "&amp;TEXT(B21,"#,##0")&amp;" en tratamiento.",IF(ISNUMBER(B38),"Sube tratamiento a "&amp;TEXT(B38,"#,##0")&amp;".","No se puede medir en 1 mes con este cambio esperado. Cambia la métrica por una más frecuente o espera un cambio mayor.")))</f>
        <v>No se puede medir en 1 mes con este cambio esperado. Cambia la métrica por una más frecuente o espera un cambio mayor.</v>
      </c>
      <c r="C39" s="20" t="str">
        <f aca="false">IF(C27&lt;0,"Tratamiento mayor al pool. Bájalo.",IF(C33="SÍ","Corre con "&amp;TEXT(C21,"#,##0")&amp;" en tratamiento.",IF(ISNUMBER(C38),"Sube tratamiento a "&amp;TEXT(C38,"#,##0")&amp;".","No se puede medir en 1 mes con este cambio esperado. Cambia la métrica por una más frecuente o espera un cambio mayor.")))</f>
        <v>No se puede medir en 1 mes con este cambio esperado. Cambia la métrica por una más frecuente o espera un cambio mayor.</v>
      </c>
      <c r="D39" s="20" t="str">
        <f aca="false">IF(D27&lt;0,"Tratamiento mayor al pool. Bájalo.",IF(D33="SÍ","Corre con "&amp;TEXT(D21,"#,##0")&amp;" en tratamiento.",IF(ISNUMBER(D38),"Sube tratamiento a "&amp;TEXT(D38,"#,##0")&amp;".","No se puede medir en 1 mes con este cambio esperado. Cambia la métrica por una más frecuente o espera un cambio mayor.")))</f>
        <v>No se puede medir en 1 mes con este cambio esperado. Cambia la métrica por una más frecuente o espera un cambio mayor.</v>
      </c>
    </row>
    <row r="41" customFormat="false" ht="15" hidden="false" customHeight="false" outlineLevel="0" collapsed="false">
      <c r="A41" s="23" t="s">
        <v>66</v>
      </c>
      <c r="B41" s="24" t="s">
        <v>22</v>
      </c>
      <c r="C41" s="24" t="s">
        <v>23</v>
      </c>
      <c r="D41" s="24" t="s">
        <v>24</v>
      </c>
      <c r="E41" s="24"/>
    </row>
    <row r="42" customFormat="false" ht="15" hidden="false" customHeight="false" outlineLevel="0" collapsed="false">
      <c r="A42" s="5" t="s">
        <v>67</v>
      </c>
      <c r="B42" s="16" t="n">
        <f aca="false">B21*(1-$B$8)</f>
        <v>95000</v>
      </c>
      <c r="C42" s="16" t="n">
        <f aca="false">C21*(1-$B$8)</f>
        <v>317482.4</v>
      </c>
      <c r="D42" s="16" t="n">
        <f aca="false">D21*(1-$B$8)</f>
        <v>950000</v>
      </c>
    </row>
    <row r="43" customFormat="false" ht="15" hidden="false" customHeight="false" outlineLevel="0" collapsed="false">
      <c r="A43" s="5" t="s">
        <v>68</v>
      </c>
      <c r="B43" s="16" t="n">
        <f aca="false">MAX(B27,1)*(1-$B$8)</f>
        <v>439051.05</v>
      </c>
      <c r="C43" s="16" t="n">
        <f aca="false">MAX(C27,1)*(1-$B$8)</f>
        <v>317482.4</v>
      </c>
      <c r="D43" s="16" t="n">
        <f aca="false">MAX(D27,1)*(1-$B$8)</f>
        <v>3471684.75</v>
      </c>
    </row>
    <row r="44" customFormat="false" ht="15" hidden="false" customHeight="false" outlineLevel="0" collapsed="false">
      <c r="A44" s="5" t="s">
        <v>69</v>
      </c>
      <c r="B44" s="25" t="n">
        <f aca="false">(B43*B26+B42*B31)/(B43+B42)</f>
        <v>0.000846310293733535</v>
      </c>
      <c r="C44" s="25" t="n">
        <f aca="false">(C43*C26+C42*C31)/(C43+C42)</f>
        <v>0.000858346399674439</v>
      </c>
      <c r="D44" s="25" t="n">
        <f aca="false">(D43*D26+D42*D31)/(D43+D42)</f>
        <v>0.000804857869008074</v>
      </c>
    </row>
    <row r="45" customFormat="false" ht="15" hidden="false" customHeight="false" outlineLevel="0" collapsed="false">
      <c r="A45" s="5" t="s">
        <v>70</v>
      </c>
      <c r="B45" s="25" t="n">
        <f aca="false">($B$10+$B$11)*SQRT(B26*(1-B26)*(1/B43+1/B42))</f>
        <v>0.000315785153121956</v>
      </c>
      <c r="C45" s="25" t="n">
        <f aca="false">($B$10+$B$11)*SQRT(C26*(1-C26)*(1/C43+1/C42))</f>
        <v>0.000221680139293159</v>
      </c>
      <c r="D45" s="25" t="n">
        <f aca="false">($B$10+$B$11)*SQRT(D26*(1-D26)*(1/D43+1/D42))</f>
        <v>0.00010222571308195</v>
      </c>
    </row>
    <row r="46" customFormat="false" ht="15" hidden="false" customHeight="false" outlineLevel="0" collapsed="false">
      <c r="A46" s="5" t="s">
        <v>71</v>
      </c>
      <c r="B46" s="25" t="n">
        <f aca="false">$B$10*SQRT(((B43*B26+B42*(B26+B45))/(B43+B42))*(1-((B43*B26+B42*(B26+B45))/(B43+B42)))*(1/B43+1/B42))+$B$11*SQRT(B26*(1-B26)/B43+(B26+B45)*(1-B26-B45)/B42)</f>
        <v>0.000336206414330931</v>
      </c>
      <c r="C46" s="25" t="n">
        <f aca="false">$B$10*SQRT(((C43*C26+C42*(C26+C45))/(C43+C42))*(1-((C43*C26+C42*(C26+C45))/(C43+C42)))*(1/C43+1/C42))+$B$11*SQRT(C26*(1-C26)/C43+(C26+C45)*(1-C26-C45)/C42)</f>
        <v>0.000236150542166816</v>
      </c>
      <c r="D46" s="25" t="n">
        <f aca="false">$B$10*SQRT(((D43*D26+D42*(D26+D45))/(D43+D42))*(1-((D43*D26+D42*(D26+D45))/(D43+D42)))*(1/D43+1/D42))+$B$11*SQRT(D26*(1-D26)/D43+(D26+D45)*(1-D26-D45)/D42)</f>
        <v>0.000104544245358493</v>
      </c>
    </row>
    <row r="47" customFormat="false" ht="15" hidden="false" customHeight="false" outlineLevel="0" collapsed="false">
      <c r="A47" s="5" t="s">
        <v>72</v>
      </c>
      <c r="B47" s="25" t="n">
        <f aca="false">$B$10*SQRT(((B43*B26+B42*(B26+B46))/(B43+B42))*(1-((B43*B26+B42*(B26+B46))/(B43+B42)))*(1/B43+1/B42))+$B$11*SQRT(B26*(1-B26)/B43+(B26+B46)*(1-B26-B46)/B42)</f>
        <v>0.000337462441280728</v>
      </c>
      <c r="C47" s="25" t="n">
        <f aca="false">$B$10*SQRT(((C43*C26+C42*(C26+C46))/(C43+C42))*(1-((C43*C26+C42*(C26+C46))/(C43+C42)))*(1/C43+1/C42))+$B$11*SQRT(C26*(1-C26)/C43+(C26+C46)*(1-C26-C46)/C42)</f>
        <v>0.000237064267415081</v>
      </c>
      <c r="D47" s="25" t="n">
        <f aca="false">$B$10*SQRT(((D43*D26+D42*(D26+D46))/(D43+D42))*(1-((D43*D26+D42*(D26+D46))/(D43+D42)))*(1/D43+1/D42))+$B$11*SQRT(D26*(1-D26)/D43+(D26+D46)*(1-D26-D46)/D42)</f>
        <v>0.000104595974771253</v>
      </c>
    </row>
    <row r="48" customFormat="false" ht="15" hidden="false" customHeight="false" outlineLevel="0" collapsed="false">
      <c r="A48" s="5" t="s">
        <v>73</v>
      </c>
      <c r="B48" s="25" t="n">
        <f aca="false">$B$10*SQRT(((B43*B26+B42*(B26+B47))/(B43+B42))*(1-((B43*B26+B42*(B26+B47))/(B43+B42)))*(1/B43+1/B42))+$B$11*SQRT(B26*(1-B26)/B43+(B26+B47)*(1-B26-B47)/B42)</f>
        <v>0.000337539468435922</v>
      </c>
      <c r="C48" s="25" t="n">
        <f aca="false">$B$10*SQRT(((C43*C26+C42*(C26+C47))/(C43+C42))*(1-((C43*C26+C42*(C26+C47))/(C43+C42)))*(1/C43+1/C42))+$B$11*SQRT(C26*(1-C26)/C43+(C26+C47)*(1-C26-C47)/C42)</f>
        <v>0.000237121845320855</v>
      </c>
      <c r="D48" s="25" t="n">
        <f aca="false">$B$10*SQRT(((D43*D26+D42*(D26+D47))/(D43+D42))*(1-((D43*D26+D42*(D26+D47))/(D43+D42)))*(1/D43+1/D42))+$B$11*SQRT(D26*(1-D26)/D43+(D26+D47)*(1-D26-D47)/D42)</f>
        <v>0.000104597128504815</v>
      </c>
    </row>
    <row r="49" customFormat="false" ht="15" hidden="false" customHeight="false" outlineLevel="0" collapsed="false">
      <c r="A49" s="5" t="s">
        <v>74</v>
      </c>
      <c r="B49" s="25" t="n">
        <f aca="false">$B$10*SQRT(((B43*B26+B42*(B26+B48))/(B43+B42))*(1-((B43*B26+B42*(B26+B48))/(B43+B42)))*(1/B43+1/B42))+$B$11*SQRT(B26*(1-B26)/B43+(B26+B48)*(1-B26-B48)/B42)</f>
        <v>0.000337544191360569</v>
      </c>
      <c r="C49" s="25" t="n">
        <f aca="false">$B$10*SQRT(((C43*C26+C42*(C26+C48))/(C43+C42))*(1-((C43*C26+C42*(C26+C48))/(C43+C42)))*(1/C43+1/C42))+$B$11*SQRT(C26*(1-C26)/C43+(C26+C48)*(1-C26-C48)/C42)</f>
        <v>0.00023712547309116</v>
      </c>
      <c r="D49" s="25" t="n">
        <f aca="false">$B$10*SQRT(((D43*D26+D42*(D26+D48))/(D43+D42))*(1-((D43*D26+D42*(D26+D48))/(D43+D42)))*(1/D43+1/D42))+$B$11*SQRT(D26*(1-D26)/D43+(D26+D48)*(1-D26-D48)/D42)</f>
        <v>0.000104597154236606</v>
      </c>
    </row>
    <row r="51" customFormat="false" ht="23.85" hidden="false" customHeight="false" outlineLevel="0" collapsed="false">
      <c r="A51" s="23" t="s">
        <v>75</v>
      </c>
      <c r="B51" s="24" t="s">
        <v>22</v>
      </c>
      <c r="C51" s="24" t="s">
        <v>23</v>
      </c>
      <c r="D51" s="24" t="s">
        <v>24</v>
      </c>
      <c r="E51" s="24" t="s">
        <v>76</v>
      </c>
    </row>
    <row r="52" customFormat="false" ht="15" hidden="false" customHeight="false" outlineLevel="0" collapsed="false">
      <c r="A52" s="26" t="n">
        <v>10000</v>
      </c>
      <c r="B52" s="17" t="n">
        <f aca="false">IF(OR($A52&gt;=B$19,B$30=0),"",NORMSDIST((ABS(B$31-B$26)-$B$10*SQRT(((((B$19-$A52)*(1-$B$8))*B$26+($A52*(1-$B$8))*B$31)/(((B$19-$A52)*(1-$B$8))+($A52*(1-$B$8))))*(1-((((B$19-$A52)*(1-$B$8))*B$26+($A52*(1-$B$8))*B$31)/(((B$19-$A52)*(1-$B$8))+($A52*(1-$B$8)))))*(1/((B$19-$A52)*(1-$B$8))+1/($A52*(1-$B$8)))))/SQRT(B$26*(1-B$26)/((B$19-$A52)*(1-$B$8))+B$31*(1-B$31)/($A52*(1-$B$8)))))</f>
        <v>0.0536529495750876</v>
      </c>
      <c r="C52" s="17" t="n">
        <f aca="false">IF(OR($A52&gt;=C$19,C$30=0),"",NORMSDIST((ABS(C$31-C$26)-$B$10*SQRT(((((C$19-$A52)*(1-$B$8))*C$26+($A52*(1-$B$8))*C$31)/(((C$19-$A52)*(1-$B$8))+($A52*(1-$B$8))))*(1-((((C$19-$A52)*(1-$B$8))*C$26+($A52*(1-$B$8))*C$31)/(((C$19-$A52)*(1-$B$8))+($A52*(1-$B$8)))))*(1/((C$19-$A52)*(1-$B$8))+1/($A52*(1-$B$8)))))/SQRT(C$26*(1-C$26)/((C$19-$A52)*(1-$B$8))+C$31*(1-C$31)/($A52*(1-$B$8)))))</f>
        <v>0.0280361088736851</v>
      </c>
      <c r="D52" s="17" t="n">
        <f aca="false">IF(OR($A52&gt;=D$19,D$30=0),"",NORMSDIST((ABS(D$31-D$26)-$B$10*SQRT(((((D$19-$A52)*(1-$B$8))*D$26+($A52*(1-$B$8))*D$31)/(((D$19-$A52)*(1-$B$8))+($A52*(1-$B$8))))*(1-((((D$19-$A52)*(1-$B$8))*D$26+($A52*(1-$B$8))*D$31)/(((D$19-$A52)*(1-$B$8))+($A52*(1-$B$8)))))*(1/((D$19-$A52)*(1-$B$8))+1/($A52*(1-$B$8)))))/SQRT(D$26*(1-D$26)/((D$19-$A52)*(1-$B$8))+D$31*(1-D$31)/($A52*(1-$B$8)))))</f>
        <v>0.0184966876327773</v>
      </c>
    </row>
    <row r="53" customFormat="false" ht="15" hidden="false" customHeight="false" outlineLevel="0" collapsed="false">
      <c r="A53" s="26" t="n">
        <v>25000</v>
      </c>
      <c r="B53" s="17" t="n">
        <f aca="false">IF(OR($A53&gt;=B$19,B$30=0),"",NORMSDIST((ABS(B$31-B$26)-$B$10*SQRT(((((B$19-$A53)*(1-$B$8))*B$26+($A53*(1-$B$8))*B$31)/(((B$19-$A53)*(1-$B$8))+($A53*(1-$B$8))))*(1-((((B$19-$A53)*(1-$B$8))*B$26+($A53*(1-$B$8))*B$31)/(((B$19-$A53)*(1-$B$8))+($A53*(1-$B$8)))))*(1/((B$19-$A53)*(1-$B$8))+1/($A53*(1-$B$8)))))/SQRT(B$26*(1-B$26)/((B$19-$A53)*(1-$B$8))+B$31*(1-B$31)/($A53*(1-$B$8)))))</f>
        <v>0.0867242384749355</v>
      </c>
      <c r="C53" s="17" t="n">
        <f aca="false">IF(OR($A53&gt;=C$19,C$30=0),"",NORMSDIST((ABS(C$31-C$26)-$B$10*SQRT(((((C$19-$A53)*(1-$B$8))*C$26+($A53*(1-$B$8))*C$31)/(((C$19-$A53)*(1-$B$8))+($A53*(1-$B$8))))*(1-((((C$19-$A53)*(1-$B$8))*C$26+($A53*(1-$B$8))*C$31)/(((C$19-$A53)*(1-$B$8))+($A53*(1-$B$8)))))*(1/((C$19-$A53)*(1-$B$8))+1/($A53*(1-$B$8)))))/SQRT(C$26*(1-C$26)/((C$19-$A53)*(1-$B$8))+C$31*(1-C$31)/($A53*(1-$B$8)))))</f>
        <v>0.0375719061445862</v>
      </c>
      <c r="D53" s="17" t="n">
        <f aca="false">IF(OR($A53&gt;=D$19,D$30=0),"",NORMSDIST((ABS(D$31-D$26)-$B$10*SQRT(((((D$19-$A53)*(1-$B$8))*D$26+($A53*(1-$B$8))*D$31)/(((D$19-$A53)*(1-$B$8))+($A53*(1-$B$8))))*(1-((((D$19-$A53)*(1-$B$8))*D$26+($A53*(1-$B$8))*D$31)/(((D$19-$A53)*(1-$B$8))+($A53*(1-$B$8)))))*(1/((D$19-$A53)*(1-$B$8))+1/($A53*(1-$B$8)))))/SQRT(D$26*(1-D$26)/((D$19-$A53)*(1-$B$8))+D$31*(1-D$31)/($A53*(1-$B$8)))))</f>
        <v>0.0266249031538368</v>
      </c>
    </row>
    <row r="54" customFormat="false" ht="15" hidden="false" customHeight="false" outlineLevel="0" collapsed="false">
      <c r="A54" s="26" t="n">
        <v>50000</v>
      </c>
      <c r="B54" s="17" t="n">
        <f aca="false">IF(OR($A54&gt;=B$19,B$30=0),"",NORMSDIST((ABS(B$31-B$26)-$B$10*SQRT(((((B$19-$A54)*(1-$B$8))*B$26+($A54*(1-$B$8))*B$31)/(((B$19-$A54)*(1-$B$8))+($A54*(1-$B$8))))*(1-((((B$19-$A54)*(1-$B$8))*B$26+($A54*(1-$B$8))*B$31)/(((B$19-$A54)*(1-$B$8))+($A54*(1-$B$8)))))*(1/((B$19-$A54)*(1-$B$8))+1/($A54*(1-$B$8)))))/SQRT(B$26*(1-B$26)/((B$19-$A54)*(1-$B$8))+B$31*(1-B$31)/($A54*(1-$B$8)))))</f>
        <v>0.135699240566072</v>
      </c>
      <c r="C54" s="17" t="n">
        <f aca="false">IF(OR($A54&gt;=C$19,C$30=0),"",NORMSDIST((ABS(C$31-C$26)-$B$10*SQRT(((((C$19-$A54)*(1-$B$8))*C$26+($A54*(1-$B$8))*C$31)/(((C$19-$A54)*(1-$B$8))+($A54*(1-$B$8))))*(1-((((C$19-$A54)*(1-$B$8))*C$26+($A54*(1-$B$8))*C$31)/(((C$19-$A54)*(1-$B$8))+($A54*(1-$B$8)))))*(1/((C$19-$A54)*(1-$B$8))+1/($A54*(1-$B$8)))))/SQRT(C$26*(1-C$26)/((C$19-$A54)*(1-$B$8))+C$31*(1-C$31)/($A54*(1-$B$8)))))</f>
        <v>0.050390411893423</v>
      </c>
      <c r="D54" s="17" t="n">
        <f aca="false">IF(OR($A54&gt;=D$19,D$30=0),"",NORMSDIST((ABS(D$31-D$26)-$B$10*SQRT(((((D$19-$A54)*(1-$B$8))*D$26+($A54*(1-$B$8))*D$31)/(((D$19-$A54)*(1-$B$8))+($A54*(1-$B$8))))*(1-((((D$19-$A54)*(1-$B$8))*D$26+($A54*(1-$B$8))*D$31)/(((D$19-$A54)*(1-$B$8))+($A54*(1-$B$8)))))*(1/((D$19-$A54)*(1-$B$8))+1/($A54*(1-$B$8)))))/SQRT(D$26*(1-D$26)/((D$19-$A54)*(1-$B$8))+D$31*(1-D$31)/($A54*(1-$B$8)))))</f>
        <v>0.0390892731725304</v>
      </c>
    </row>
    <row r="55" customFormat="false" ht="15" hidden="false" customHeight="false" outlineLevel="0" collapsed="false">
      <c r="A55" s="26" t="n">
        <v>100000</v>
      </c>
      <c r="B55" s="17" t="n">
        <f aca="false">IF(OR($A55&gt;=B$19,B$30=0),"",NORMSDIST((ABS(B$31-B$26)-$B$10*SQRT(((((B$19-$A55)*(1-$B$8))*B$26+($A55*(1-$B$8))*B$31)/(((B$19-$A55)*(1-$B$8))+($A55*(1-$B$8))))*(1-((((B$19-$A55)*(1-$B$8))*B$26+($A55*(1-$B$8))*B$31)/(((B$19-$A55)*(1-$B$8))+($A55*(1-$B$8)))))*(1/((B$19-$A55)*(1-$B$8))+1/($A55*(1-$B$8)))))/SQRT(B$26*(1-B$26)/((B$19-$A55)*(1-$B$8))+B$31*(1-B$31)/($A55*(1-$B$8)))))</f>
        <v>0.217644169186768</v>
      </c>
      <c r="C55" s="17" t="n">
        <f aca="false">IF(OR($A55&gt;=C$19,C$30=0),"",NORMSDIST((ABS(C$31-C$26)-$B$10*SQRT(((((C$19-$A55)*(1-$B$8))*C$26+($A55*(1-$B$8))*C$31)/(((C$19-$A55)*(1-$B$8))+($A55*(1-$B$8))))*(1-((((C$19-$A55)*(1-$B$8))*C$26+($A55*(1-$B$8))*C$31)/(((C$19-$A55)*(1-$B$8))+($A55*(1-$B$8)))))*(1/((C$19-$A55)*(1-$B$8))+1/($A55*(1-$B$8)))))/SQRT(C$26*(1-C$26)/((C$19-$A55)*(1-$B$8))+C$31*(1-C$31)/($A55*(1-$B$8)))))</f>
        <v>0.0710652852568584</v>
      </c>
      <c r="D55" s="17" t="n">
        <f aca="false">IF(OR($A55&gt;=D$19,D$30=0),"",NORMSDIST((ABS(D$31-D$26)-$B$10*SQRT(((((D$19-$A55)*(1-$B$8))*D$26+($A55*(1-$B$8))*D$31)/(((D$19-$A55)*(1-$B$8))+($A55*(1-$B$8))))*(1-((((D$19-$A55)*(1-$B$8))*D$26+($A55*(1-$B$8))*D$31)/(((D$19-$A55)*(1-$B$8))+($A55*(1-$B$8)))))*(1/((D$19-$A55)*(1-$B$8))+1/($A55*(1-$B$8)))))/SQRT(D$26*(1-D$26)/((D$19-$A55)*(1-$B$8))+D$31*(1-D$31)/($A55*(1-$B$8)))))</f>
        <v>0.0640956190702727</v>
      </c>
    </row>
    <row r="56" customFormat="false" ht="15" hidden="false" customHeight="false" outlineLevel="0" collapsed="false">
      <c r="A56" s="26" t="n">
        <v>250000</v>
      </c>
      <c r="B56" s="17" t="n">
        <f aca="false">IF(OR($A56&gt;=B$19,B$30=0),"",NORMSDIST((ABS(B$31-B$26)-$B$10*SQRT(((((B$19-$A56)*(1-$B$8))*B$26+($A56*(1-$B$8))*B$31)/(((B$19-$A56)*(1-$B$8))+($A56*(1-$B$8))))*(1-((((B$19-$A56)*(1-$B$8))*B$26+($A56*(1-$B$8))*B$31)/(((B$19-$A56)*(1-$B$8))+($A56*(1-$B$8)))))*(1/((B$19-$A56)*(1-$B$8))+1/($A56*(1-$B$8)))))/SQRT(B$26*(1-B$26)/((B$19-$A56)*(1-$B$8))+B$31*(1-B$31)/($A56*(1-$B$8)))))</f>
        <v>0.331630243365877</v>
      </c>
      <c r="C56" s="17" t="n">
        <f aca="false">IF(OR($A56&gt;=C$19,C$30=0),"",NORMSDIST((ABS(C$31-C$26)-$B$10*SQRT(((((C$19-$A56)*(1-$B$8))*C$26+($A56*(1-$B$8))*C$31)/(((C$19-$A56)*(1-$B$8))+($A56*(1-$B$8))))*(1-((((C$19-$A56)*(1-$B$8))*C$26+($A56*(1-$B$8))*C$31)/(((C$19-$A56)*(1-$B$8))+($A56*(1-$B$8)))))*(1/((C$19-$A56)*(1-$B$8))+1/($A56*(1-$B$8)))))/SQRT(C$26*(1-C$26)/((C$19-$A56)*(1-$B$8))+C$31*(1-C$31)/($A56*(1-$B$8)))))</f>
        <v>0.105802686346464</v>
      </c>
      <c r="D56" s="17" t="n">
        <f aca="false">IF(OR($A56&gt;=D$19,D$30=0),"",NORMSDIST((ABS(D$31-D$26)-$B$10*SQRT(((((D$19-$A56)*(1-$B$8))*D$26+($A56*(1-$B$8))*D$31)/(((D$19-$A56)*(1-$B$8))+($A56*(1-$B$8))))*(1-((((D$19-$A56)*(1-$B$8))*D$26+($A56*(1-$B$8))*D$31)/(((D$19-$A56)*(1-$B$8))+($A56*(1-$B$8)))))*(1/((D$19-$A56)*(1-$B$8))+1/($A56*(1-$B$8)))))/SQRT(D$26*(1-D$26)/((D$19-$A56)*(1-$B$8))+D$31*(1-D$31)/($A56*(1-$B$8)))))</f>
        <v>0.144746804199576</v>
      </c>
    </row>
    <row r="57" customFormat="false" ht="15" hidden="false" customHeight="false" outlineLevel="0" collapsed="false">
      <c r="A57" s="26" t="n">
        <v>500000</v>
      </c>
      <c r="B57" s="17" t="n">
        <f aca="false">IF(OR($A57&gt;=B$19,B$30=0),"",NORMSDIST((ABS(B$31-B$26)-$B$10*SQRT(((((B$19-$A57)*(1-$B$8))*B$26+($A57*(1-$B$8))*B$31)/(((B$19-$A57)*(1-$B$8))+($A57*(1-$B$8))))*(1-((((B$19-$A57)*(1-$B$8))*B$26+($A57*(1-$B$8))*B$31)/(((B$19-$A57)*(1-$B$8))+($A57*(1-$B$8)))))*(1/((B$19-$A57)*(1-$B$8))+1/($A57*(1-$B$8)))))/SQRT(B$26*(1-B$26)/((B$19-$A57)*(1-$B$8))+B$31*(1-B$31)/($A57*(1-$B$8)))))</f>
        <v>0.11120495607459</v>
      </c>
      <c r="C57" s="17" t="n">
        <f aca="false">IF(OR($A57&gt;=C$19,C$30=0),"",NORMSDIST((ABS(C$31-C$26)-$B$10*SQRT(((((C$19-$A57)*(1-$B$8))*C$26+($A57*(1-$B$8))*C$31)/(((C$19-$A57)*(1-$B$8))+($A57*(1-$B$8))))*(1-((((C$19-$A57)*(1-$B$8))*C$26+($A57*(1-$B$8))*C$31)/(((C$19-$A57)*(1-$B$8))+($A57*(1-$B$8)))))*(1/((C$19-$A57)*(1-$B$8))+1/($A57*(1-$B$8)))))/SQRT(C$26*(1-C$26)/((C$19-$A57)*(1-$B$8))+C$31*(1-C$31)/($A57*(1-$B$8)))))</f>
        <v>0.0797032207645197</v>
      </c>
      <c r="D57" s="17" t="n">
        <f aca="false">IF(OR($A57&gt;=D$19,D$30=0),"",NORMSDIST((ABS(D$31-D$26)-$B$10*SQRT(((((D$19-$A57)*(1-$B$8))*D$26+($A57*(1-$B$8))*D$31)/(((D$19-$A57)*(1-$B$8))+($A57*(1-$B$8))))*(1-((((D$19-$A57)*(1-$B$8))*D$26+($A57*(1-$B$8))*D$31)/(((D$19-$A57)*(1-$B$8))+($A57*(1-$B$8)))))*(1/((D$19-$A57)*(1-$B$8))+1/($A57*(1-$B$8)))))/SQRT(D$26*(1-D$26)/((D$19-$A57)*(1-$B$8))+D$31*(1-D$31)/($A57*(1-$B$8)))))</f>
        <v>0.282795870586124</v>
      </c>
    </row>
    <row r="58" customFormat="false" ht="15" hidden="false" customHeight="false" outlineLevel="0" collapsed="false">
      <c r="A58" s="26" t="n">
        <v>1000000</v>
      </c>
      <c r="B58" s="17" t="str">
        <f aca="false">IF(OR($A58&gt;=B$19,B$30=0),"",NORMSDIST((ABS(B$31-B$26)-$B$10*SQRT(((((B$19-$A58)*(1-$B$8))*B$26+($A58*(1-$B$8))*B$31)/(((B$19-$A58)*(1-$B$8))+($A58*(1-$B$8))))*(1-((((B$19-$A58)*(1-$B$8))*B$26+($A58*(1-$B$8))*B$31)/(((B$19-$A58)*(1-$B$8))+($A58*(1-$B$8)))))*(1/((B$19-$A58)*(1-$B$8))+1/($A58*(1-$B$8)))))/SQRT(B$26*(1-B$26)/((B$19-$A58)*(1-$B$8))+B$31*(1-B$31)/($A58*(1-$B$8)))))</f>
        <v/>
      </c>
      <c r="C58" s="17" t="str">
        <f aca="false">IF(OR($A58&gt;=C$19,C$30=0),"",NORMSDIST((ABS(C$31-C$26)-$B$10*SQRT(((((C$19-$A58)*(1-$B$8))*C$26+($A58*(1-$B$8))*C$31)/(((C$19-$A58)*(1-$B$8))+($A58*(1-$B$8))))*(1-((((C$19-$A58)*(1-$B$8))*C$26+($A58*(1-$B$8))*C$31)/(((C$19-$A58)*(1-$B$8))+($A58*(1-$B$8)))))*(1/((C$19-$A58)*(1-$B$8))+1/($A58*(1-$B$8)))))/SQRT(C$26*(1-C$26)/((C$19-$A58)*(1-$B$8))+C$31*(1-C$31)/($A58*(1-$B$8)))))</f>
        <v/>
      </c>
      <c r="D58" s="17" t="n">
        <f aca="false">IF(OR($A58&gt;=D$19,D$30=0),"",NORMSDIST((ABS(D$31-D$26)-$B$10*SQRT(((((D$19-$A58)*(1-$B$8))*D$26+($A58*(1-$B$8))*D$31)/(((D$19-$A58)*(1-$B$8))+($A58*(1-$B$8))))*(1-((((D$19-$A58)*(1-$B$8))*D$26+($A58*(1-$B$8))*D$31)/(((D$19-$A58)*(1-$B$8))+($A58*(1-$B$8)))))*(1/((D$19-$A58)*(1-$B$8))+1/($A58*(1-$B$8)))))/SQRT(D$26*(1-D$26)/((D$19-$A58)*(1-$B$8))+D$31*(1-D$31)/($A58*(1-$B$8)))))</f>
        <v>0.503337360450257</v>
      </c>
    </row>
    <row r="59" customFormat="false" ht="15" hidden="false" customHeight="false" outlineLevel="0" collapsed="false">
      <c r="A59" s="26" t="n">
        <v>2000000</v>
      </c>
      <c r="B59" s="17" t="str">
        <f aca="false">IF(OR($A59&gt;=B$19,B$30=0),"",NORMSDIST((ABS(B$31-B$26)-$B$10*SQRT(((((B$19-$A59)*(1-$B$8))*B$26+($A59*(1-$B$8))*B$31)/(((B$19-$A59)*(1-$B$8))+($A59*(1-$B$8))))*(1-((((B$19-$A59)*(1-$B$8))*B$26+($A59*(1-$B$8))*B$31)/(((B$19-$A59)*(1-$B$8))+($A59*(1-$B$8)))))*(1/((B$19-$A59)*(1-$B$8))+1/($A59*(1-$B$8)))))/SQRT(B$26*(1-B$26)/((B$19-$A59)*(1-$B$8))+B$31*(1-B$31)/($A59*(1-$B$8)))))</f>
        <v/>
      </c>
      <c r="C59" s="17" t="str">
        <f aca="false">IF(OR($A59&gt;=C$19,C$30=0),"",NORMSDIST((ABS(C$31-C$26)-$B$10*SQRT(((((C$19-$A59)*(1-$B$8))*C$26+($A59*(1-$B$8))*C$31)/(((C$19-$A59)*(1-$B$8))+($A59*(1-$B$8))))*(1-((((C$19-$A59)*(1-$B$8))*C$26+($A59*(1-$B$8))*C$31)/(((C$19-$A59)*(1-$B$8))+($A59*(1-$B$8)))))*(1/((C$19-$A59)*(1-$B$8))+1/($A59*(1-$B$8)))))/SQRT(C$26*(1-C$26)/((C$19-$A59)*(1-$B$8))+C$31*(1-C$31)/($A59*(1-$B$8)))))</f>
        <v/>
      </c>
      <c r="D59" s="17" t="n">
        <f aca="false">IF(OR($A59&gt;=D$19,D$30=0),"",NORMSDIST((ABS(D$31-D$26)-$B$10*SQRT(((((D$19-$A59)*(1-$B$8))*D$26+($A59*(1-$B$8))*D$31)/(((D$19-$A59)*(1-$B$8))+($A59*(1-$B$8))))*(1-((((D$19-$A59)*(1-$B$8))*D$26+($A59*(1-$B$8))*D$31)/(((D$19-$A59)*(1-$B$8))+($A59*(1-$B$8)))))*(1/((D$19-$A59)*(1-$B$8))+1/($A59*(1-$B$8)))))/SQRT(D$26*(1-D$26)/((D$19-$A59)*(1-$B$8))+D$31*(1-D$31)/($A59*(1-$B$8)))))</f>
        <v>0.691588543720377</v>
      </c>
    </row>
    <row r="61" customFormat="false" ht="15" hidden="false" customHeight="true" outlineLevel="0" collapsed="false">
      <c r="A61" s="27" t="s">
        <v>77</v>
      </c>
      <c r="B61" s="27"/>
      <c r="C61" s="27"/>
      <c r="D61" s="27"/>
      <c r="E61" s="27"/>
    </row>
    <row r="62" customFormat="false" ht="15" hidden="false" customHeight="false" outlineLevel="0" collapsed="false">
      <c r="A62" s="27"/>
      <c r="B62" s="27"/>
      <c r="C62" s="27"/>
      <c r="D62" s="27"/>
      <c r="E62" s="27"/>
    </row>
  </sheetData>
  <mergeCells count="2">
    <mergeCell ref="B14:D14"/>
    <mergeCell ref="A61:E62"/>
  </mergeCells>
  <conditionalFormatting sqref="B52:D59">
    <cfRule type="cellIs" priority="2" operator="greaterThanOrEqual" aboveAverage="0" equalAverage="0" bottom="0" percent="0" rank="0" text="" dxfId="0">
      <formula>$B$6</formula>
    </cfRule>
  </conditionalFormatting>
  <conditionalFormatting sqref="B33:D33">
    <cfRule type="cellIs" priority="3" operator="equal" aboveAverage="0" equalAverage="0" bottom="0" percent="0" rank="0" text="" dxfId="1">
      <formula>"SÍ"</formula>
    </cfRule>
    <cfRule type="cellIs" priority="4" operator="equal" aboveAverage="0" equalAverage="0" bottom="0" percent="0" rank="0" text="" dxfId="2">
      <formula>"NO"</formula>
    </cfRule>
  </conditionalFormatting>
  <conditionalFormatting sqref="B27:D27">
    <cfRule type="cellIs" priority="5" operator="less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78</v>
      </c>
    </row>
    <row r="3" customFormat="false" ht="15" hidden="false" customHeight="false" outlineLevel="0" collapsed="false">
      <c r="A3" s="28" t="s">
        <v>79</v>
      </c>
    </row>
    <row r="4" customFormat="false" ht="15" hidden="false" customHeight="false" outlineLevel="0" collapsed="false">
      <c r="A4" s="28" t="s">
        <v>80</v>
      </c>
    </row>
    <row r="5" customFormat="false" ht="15" hidden="false" customHeight="false" outlineLevel="0" collapsed="false">
      <c r="A5" s="28" t="s">
        <v>81</v>
      </c>
    </row>
    <row r="6" customFormat="false" ht="15" hidden="false" customHeight="false" outlineLevel="0" collapsed="false">
      <c r="A6" s="28" t="s">
        <v>82</v>
      </c>
    </row>
    <row r="7" customFormat="false" ht="23.85" hidden="false" customHeight="false" outlineLevel="0" collapsed="false">
      <c r="A7" s="28" t="s">
        <v>83</v>
      </c>
    </row>
    <row r="8" customFormat="false" ht="15" hidden="false" customHeight="false" outlineLevel="0" collapsed="false">
      <c r="A8" s="28" t="s">
        <v>84</v>
      </c>
    </row>
    <row r="9" customFormat="false" ht="15" hidden="false" customHeight="false" outlineLevel="0" collapsed="false">
      <c r="A9" s="28"/>
    </row>
    <row r="10" customFormat="false" ht="23.85" hidden="false" customHeight="false" outlineLevel="0" collapsed="false">
      <c r="A10" s="28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2026-10-08T19:08:16Z</dcterms:created>
  <dc:creator>openpyxl</dc:creator>
  <dc:description/>
  <dc:language>en-US</dc:language>
  <cp:lastModifiedBy/>
  <dcterms:modified xsi:type="dcterms:W3CDTF">2026-10-08T19:08:16Z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